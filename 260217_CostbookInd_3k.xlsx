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tytantechnologies.sharepoint.com/sites/ManufacturingHQ/Freigegebene Dokumente/05_3K Factory/200_Cost/"/>
    </mc:Choice>
  </mc:AlternateContent>
  <xr:revisionPtr revIDLastSave="0" documentId="8_{C4AA2108-7F0E-422E-A68E-56950006F0A2}" xr6:coauthVersionLast="47" xr6:coauthVersionMax="47" xr10:uidLastSave="{00000000-0000-0000-0000-000000000000}"/>
  <bookViews>
    <workbookView xWindow="-110" yWindow="-110" windowWidth="19420" windowHeight="11500" firstSheet="9" activeTab="9" xr2:uid="{99D2857A-E9E2-457C-96AD-38D33C66D1AD}"/>
  </bookViews>
  <sheets>
    <sheet name="Summary" sheetId="1" r:id="rId1"/>
    <sheet name="Data_Graphic_Assembly" sheetId="12" r:id="rId2"/>
    <sheet name="Assembly_Equipment" sheetId="2" r:id="rId3"/>
    <sheet name="Testing" sheetId="17" r:id="rId4"/>
    <sheet name="Logistics" sheetId="18" r:id="rId5"/>
    <sheet name="Facility" sheetId="19" r:id="rId6"/>
    <sheet name="Prototyping" sheetId="20" r:id="rId7"/>
    <sheet name="2027_FC" sheetId="21" r:id="rId8"/>
    <sheet name="Dropdown" sheetId="8" r:id="rId9"/>
    <sheet name="BudgetTemplate19.02.2026" sheetId="11" r:id="rId10"/>
  </sheets>
  <definedNames>
    <definedName name="_xlnm._FilterDatabase" localSheetId="9" hidden="1">'BudgetTemplate19.02.2026'!$A$7:$DO$52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96" i="2"/>
  <c r="F95" i="2"/>
  <c r="F54" i="2"/>
  <c r="F40" i="2"/>
  <c r="F38" i="2"/>
  <c r="F10" i="2"/>
  <c r="F24" i="2"/>
  <c r="F23" i="2"/>
  <c r="F8" i="2"/>
  <c r="F7" i="2"/>
  <c r="F3" i="17"/>
  <c r="F4" i="21"/>
  <c r="F4" i="20"/>
  <c r="F3" i="18"/>
  <c r="F2" i="18" s="1"/>
  <c r="F46" i="2"/>
  <c r="F30" i="2"/>
  <c r="F15" i="2"/>
  <c r="F65" i="17"/>
  <c r="F54" i="17"/>
  <c r="F38" i="17"/>
  <c r="F22" i="17"/>
  <c r="F6" i="17"/>
  <c r="F4" i="18"/>
  <c r="F75" i="2"/>
  <c r="F64" i="2"/>
  <c r="F53" i="2"/>
  <c r="F4" i="19"/>
  <c r="CI52" i="11"/>
  <c r="CH52" i="11"/>
  <c r="CG52" i="11"/>
  <c r="CF52" i="11"/>
  <c r="CE52" i="11"/>
  <c r="CD52" i="11"/>
  <c r="CC52" i="11"/>
  <c r="CB52" i="11"/>
  <c r="CA52" i="11"/>
  <c r="BZ52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F52" i="11"/>
  <c r="CI51" i="11"/>
  <c r="CH51" i="11"/>
  <c r="CG51" i="11"/>
  <c r="CF51" i="11"/>
  <c r="CE51" i="11"/>
  <c r="CD51" i="11"/>
  <c r="CC51" i="11"/>
  <c r="CB51" i="11"/>
  <c r="CA51" i="11"/>
  <c r="BZ51" i="11"/>
  <c r="BY51" i="11"/>
  <c r="BX51" i="11"/>
  <c r="BW51" i="11"/>
  <c r="BV51" i="11"/>
  <c r="BU51" i="11"/>
  <c r="BT51" i="11"/>
  <c r="BS51" i="11"/>
  <c r="BR51" i="11"/>
  <c r="BQ51" i="11"/>
  <c r="BP51" i="11"/>
  <c r="BO51" i="11"/>
  <c r="BN51" i="11"/>
  <c r="BM51" i="11"/>
  <c r="BL51" i="11"/>
  <c r="BK51" i="11"/>
  <c r="BJ51" i="11"/>
  <c r="BI51" i="11"/>
  <c r="BH51" i="11"/>
  <c r="BG51" i="11"/>
  <c r="BF51" i="11"/>
  <c r="BE51" i="11"/>
  <c r="BD51" i="11"/>
  <c r="BC51" i="11"/>
  <c r="BB51" i="11"/>
  <c r="BA51" i="11"/>
  <c r="AZ51" i="11"/>
  <c r="AY51" i="11"/>
  <c r="AX51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H51" i="11"/>
  <c r="F51" i="11"/>
  <c r="CI50" i="11"/>
  <c r="CH50" i="11"/>
  <c r="CG50" i="11"/>
  <c r="CF50" i="11"/>
  <c r="CE50" i="11"/>
  <c r="CD50" i="11"/>
  <c r="CC50" i="11"/>
  <c r="CB50" i="11"/>
  <c r="CA50" i="11"/>
  <c r="BZ50" i="11"/>
  <c r="BY50" i="11"/>
  <c r="BX50" i="11"/>
  <c r="BW50" i="11"/>
  <c r="BV50" i="11"/>
  <c r="BU50" i="11"/>
  <c r="BT50" i="11"/>
  <c r="BS50" i="11"/>
  <c r="BR50" i="11"/>
  <c r="BQ50" i="11"/>
  <c r="BP50" i="11"/>
  <c r="BO50" i="11"/>
  <c r="BN50" i="11"/>
  <c r="BM50" i="11"/>
  <c r="BL50" i="11"/>
  <c r="BK50" i="11"/>
  <c r="BJ50" i="11"/>
  <c r="BI50" i="11"/>
  <c r="BH50" i="11"/>
  <c r="BG50" i="11"/>
  <c r="BF50" i="11"/>
  <c r="BE50" i="11"/>
  <c r="BD50" i="11"/>
  <c r="BC50" i="11"/>
  <c r="BB50" i="11"/>
  <c r="BA50" i="11"/>
  <c r="AZ50" i="11"/>
  <c r="AY50" i="11"/>
  <c r="AX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H50" i="11"/>
  <c r="F50" i="11"/>
  <c r="CI49" i="11"/>
  <c r="CH49" i="11"/>
  <c r="CG49" i="11"/>
  <c r="CF49" i="11"/>
  <c r="CE49" i="11"/>
  <c r="CD49" i="11"/>
  <c r="CC49" i="11"/>
  <c r="CB49" i="11"/>
  <c r="CA49" i="11"/>
  <c r="BZ49" i="11"/>
  <c r="BY49" i="11"/>
  <c r="BX49" i="11"/>
  <c r="BW49" i="11"/>
  <c r="BV49" i="11"/>
  <c r="BU49" i="11"/>
  <c r="BT49" i="11"/>
  <c r="BS49" i="11"/>
  <c r="BR49" i="11"/>
  <c r="BQ49" i="11"/>
  <c r="BP49" i="11"/>
  <c r="BO49" i="11"/>
  <c r="BN49" i="11"/>
  <c r="BM49" i="11"/>
  <c r="BL49" i="11"/>
  <c r="BK49" i="11"/>
  <c r="BJ49" i="11"/>
  <c r="BI49" i="11"/>
  <c r="BH49" i="11"/>
  <c r="BG49" i="11"/>
  <c r="BF49" i="11"/>
  <c r="BE49" i="11"/>
  <c r="BD49" i="11"/>
  <c r="BC49" i="11"/>
  <c r="BB49" i="11"/>
  <c r="BA49" i="1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H49" i="11"/>
  <c r="F49" i="11"/>
  <c r="CI48" i="11"/>
  <c r="CH48" i="11"/>
  <c r="CG48" i="11"/>
  <c r="CF48" i="11"/>
  <c r="CE48" i="11"/>
  <c r="CD48" i="11"/>
  <c r="CC48" i="11"/>
  <c r="CB48" i="11"/>
  <c r="CA48" i="11"/>
  <c r="BZ48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H48" i="11"/>
  <c r="F48" i="11"/>
  <c r="CI47" i="11"/>
  <c r="CH47" i="11"/>
  <c r="CG47" i="11"/>
  <c r="CF47" i="11"/>
  <c r="CE47" i="11"/>
  <c r="CD47" i="11"/>
  <c r="CC47" i="11"/>
  <c r="CB47" i="11"/>
  <c r="CA47" i="11"/>
  <c r="BZ47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H47" i="11"/>
  <c r="F47" i="11"/>
  <c r="CI46" i="11"/>
  <c r="CH46" i="11"/>
  <c r="CG46" i="11"/>
  <c r="CF46" i="11"/>
  <c r="CE46" i="11"/>
  <c r="CD46" i="11"/>
  <c r="CC46" i="11"/>
  <c r="CB46" i="11"/>
  <c r="CA46" i="11"/>
  <c r="BZ46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H46" i="11"/>
  <c r="F46" i="11"/>
  <c r="CI45" i="11"/>
  <c r="CH45" i="11"/>
  <c r="CG45" i="11"/>
  <c r="CF45" i="11"/>
  <c r="CE45" i="11"/>
  <c r="CD45" i="11"/>
  <c r="CC45" i="11"/>
  <c r="CB45" i="11"/>
  <c r="CA45" i="11"/>
  <c r="BZ45" i="11"/>
  <c r="BY45" i="11"/>
  <c r="BX45" i="11"/>
  <c r="BW45" i="11"/>
  <c r="BV45" i="11"/>
  <c r="BU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H45" i="11"/>
  <c r="F45" i="11"/>
  <c r="CI44" i="11"/>
  <c r="CH44" i="11"/>
  <c r="CG44" i="11"/>
  <c r="CF44" i="11"/>
  <c r="CE44" i="11"/>
  <c r="CD44" i="11"/>
  <c r="CC44" i="11"/>
  <c r="CB44" i="11"/>
  <c r="CA44" i="11"/>
  <c r="BZ44" i="11"/>
  <c r="BY44" i="11"/>
  <c r="BX44" i="11"/>
  <c r="BW44" i="11"/>
  <c r="BV44" i="11"/>
  <c r="BU44" i="11"/>
  <c r="BT44" i="11"/>
  <c r="BS44" i="11"/>
  <c r="BR44" i="11"/>
  <c r="BQ44" i="11"/>
  <c r="BP44" i="11"/>
  <c r="BO44" i="11"/>
  <c r="BN44" i="11"/>
  <c r="BM44" i="11"/>
  <c r="BL44" i="11"/>
  <c r="BK44" i="11"/>
  <c r="BJ44" i="11"/>
  <c r="BI44" i="11"/>
  <c r="BH44" i="11"/>
  <c r="BG44" i="11"/>
  <c r="BF44" i="11"/>
  <c r="BE44" i="11"/>
  <c r="BD44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M44" i="11"/>
  <c r="AK44" i="11" s="1"/>
  <c r="H44" i="11"/>
  <c r="F44" i="11"/>
  <c r="CI43" i="11"/>
  <c r="CH43" i="11"/>
  <c r="CG43" i="11"/>
  <c r="CF43" i="11"/>
  <c r="CE43" i="11"/>
  <c r="CD43" i="11"/>
  <c r="CC43" i="11"/>
  <c r="CB43" i="11"/>
  <c r="CA43" i="11"/>
  <c r="BZ43" i="11"/>
  <c r="BY43" i="11"/>
  <c r="BX43" i="11"/>
  <c r="BW43" i="11"/>
  <c r="BV43" i="11"/>
  <c r="BU43" i="11"/>
  <c r="BT43" i="11"/>
  <c r="BS43" i="11"/>
  <c r="BR43" i="11"/>
  <c r="BQ43" i="11"/>
  <c r="BP43" i="11"/>
  <c r="BO43" i="11"/>
  <c r="BN43" i="11"/>
  <c r="BM43" i="11"/>
  <c r="BL43" i="11"/>
  <c r="BK43" i="11"/>
  <c r="BJ43" i="11"/>
  <c r="BI43" i="11"/>
  <c r="BH43" i="11"/>
  <c r="BG43" i="11"/>
  <c r="BF43" i="11"/>
  <c r="BE43" i="1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H43" i="11"/>
  <c r="F43" i="11"/>
  <c r="CI42" i="11"/>
  <c r="CH42" i="11"/>
  <c r="CG42" i="11"/>
  <c r="CF42" i="11"/>
  <c r="CE42" i="11"/>
  <c r="CD42" i="11"/>
  <c r="CC42" i="11"/>
  <c r="CB42" i="11"/>
  <c r="CA42" i="11"/>
  <c r="BZ42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M42" i="11"/>
  <c r="H42" i="11"/>
  <c r="F42" i="11"/>
  <c r="CI41" i="11"/>
  <c r="CH41" i="11"/>
  <c r="CG41" i="11"/>
  <c r="CF41" i="11"/>
  <c r="CE41" i="11"/>
  <c r="CD41" i="11"/>
  <c r="CC41" i="11"/>
  <c r="CB41" i="11"/>
  <c r="CA41" i="11"/>
  <c r="BZ41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H41" i="11"/>
  <c r="F41" i="11"/>
  <c r="CI40" i="11"/>
  <c r="CH40" i="11"/>
  <c r="CG40" i="11"/>
  <c r="CF40" i="11"/>
  <c r="CE40" i="11"/>
  <c r="CD40" i="11"/>
  <c r="CC40" i="11"/>
  <c r="CB40" i="11"/>
  <c r="CA40" i="11"/>
  <c r="BZ40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H40" i="11"/>
  <c r="F40" i="11"/>
  <c r="CI39" i="11"/>
  <c r="CH39" i="11"/>
  <c r="CG39" i="11"/>
  <c r="CF39" i="11"/>
  <c r="CE39" i="11"/>
  <c r="CD39" i="11"/>
  <c r="CC39" i="11"/>
  <c r="CB39" i="11"/>
  <c r="CA39" i="11"/>
  <c r="BZ39" i="11"/>
  <c r="BY39" i="11"/>
  <c r="BX39" i="11"/>
  <c r="BW39" i="11"/>
  <c r="BV39" i="11"/>
  <c r="BU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H39" i="11"/>
  <c r="F39" i="11"/>
  <c r="CI38" i="11"/>
  <c r="CH38" i="11"/>
  <c r="CG38" i="11"/>
  <c r="CF38" i="11"/>
  <c r="CE38" i="11"/>
  <c r="CD38" i="11"/>
  <c r="CC38" i="11"/>
  <c r="CB38" i="11"/>
  <c r="CA38" i="11"/>
  <c r="BZ38" i="11"/>
  <c r="BY38" i="11"/>
  <c r="BX38" i="11"/>
  <c r="BW38" i="11"/>
  <c r="BV38" i="11"/>
  <c r="BU38" i="11"/>
  <c r="BT38" i="11"/>
  <c r="BS38" i="11"/>
  <c r="BR38" i="11"/>
  <c r="BQ38" i="11"/>
  <c r="BP38" i="11"/>
  <c r="BO38" i="11"/>
  <c r="BN38" i="11"/>
  <c r="BM38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M38" i="11"/>
  <c r="AF38" i="11" s="1"/>
  <c r="H38" i="11"/>
  <c r="F38" i="11"/>
  <c r="CI37" i="11"/>
  <c r="CH37" i="11"/>
  <c r="CG37" i="11"/>
  <c r="CF37" i="11"/>
  <c r="CE37" i="11"/>
  <c r="CD37" i="11"/>
  <c r="CC37" i="11"/>
  <c r="CB37" i="11"/>
  <c r="CA37" i="11"/>
  <c r="BZ37" i="11"/>
  <c r="BY37" i="11"/>
  <c r="BX37" i="11"/>
  <c r="BW37" i="11"/>
  <c r="BV37" i="11"/>
  <c r="BU37" i="11"/>
  <c r="BT37" i="11"/>
  <c r="BS37" i="11"/>
  <c r="BR37" i="11"/>
  <c r="BQ37" i="11"/>
  <c r="BP37" i="11"/>
  <c r="BO37" i="11"/>
  <c r="BN37" i="11"/>
  <c r="BM37" i="11"/>
  <c r="BL37" i="11"/>
  <c r="BK37" i="11"/>
  <c r="BJ37" i="11"/>
  <c r="BI37" i="11"/>
  <c r="BH37" i="11"/>
  <c r="BG37" i="11"/>
  <c r="BF37" i="11"/>
  <c r="BE37" i="11"/>
  <c r="BD37" i="11"/>
  <c r="BC37" i="11"/>
  <c r="BB37" i="11"/>
  <c r="BA37" i="11"/>
  <c r="AZ37" i="11"/>
  <c r="AY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H37" i="11"/>
  <c r="F37" i="11"/>
  <c r="CI36" i="11"/>
  <c r="CH36" i="11"/>
  <c r="CG36" i="11"/>
  <c r="CF36" i="11"/>
  <c r="CE36" i="11"/>
  <c r="CD36" i="11"/>
  <c r="CC36" i="11"/>
  <c r="CB36" i="11"/>
  <c r="CA36" i="11"/>
  <c r="BZ36" i="11"/>
  <c r="BY36" i="11"/>
  <c r="BX36" i="11"/>
  <c r="BW36" i="11"/>
  <c r="BV36" i="11"/>
  <c r="BU36" i="11"/>
  <c r="BT36" i="11"/>
  <c r="BS36" i="11"/>
  <c r="BR36" i="11"/>
  <c r="BQ36" i="11"/>
  <c r="BP36" i="11"/>
  <c r="BO36" i="11"/>
  <c r="BN36" i="11"/>
  <c r="BM36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H36" i="11"/>
  <c r="CI35" i="11"/>
  <c r="CH35" i="11"/>
  <c r="CG35" i="11"/>
  <c r="CF35" i="11"/>
  <c r="CE35" i="11"/>
  <c r="CD35" i="11"/>
  <c r="CC35" i="11"/>
  <c r="CB35" i="11"/>
  <c r="CA35" i="11"/>
  <c r="BZ35" i="11"/>
  <c r="BY35" i="11"/>
  <c r="BX35" i="11"/>
  <c r="BW35" i="11"/>
  <c r="BV35" i="11"/>
  <c r="BU35" i="11"/>
  <c r="BT35" i="11"/>
  <c r="BS35" i="11"/>
  <c r="BR35" i="11"/>
  <c r="BQ35" i="11"/>
  <c r="BP35" i="11"/>
  <c r="BO35" i="11"/>
  <c r="BN35" i="11"/>
  <c r="BM35" i="11"/>
  <c r="BL35" i="11"/>
  <c r="BK35" i="11"/>
  <c r="BJ35" i="11"/>
  <c r="BI35" i="11"/>
  <c r="BH35" i="11"/>
  <c r="BG35" i="11"/>
  <c r="BF35" i="11"/>
  <c r="BE35" i="11"/>
  <c r="BD35" i="11"/>
  <c r="BC35" i="11"/>
  <c r="BB35" i="11"/>
  <c r="BA35" i="11"/>
  <c r="AZ35" i="11"/>
  <c r="AY35" i="11"/>
  <c r="AX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H35" i="11"/>
  <c r="CI34" i="11"/>
  <c r="CH34" i="11"/>
  <c r="CG34" i="11"/>
  <c r="CF34" i="11"/>
  <c r="CE34" i="11"/>
  <c r="CD34" i="11"/>
  <c r="CC34" i="11"/>
  <c r="CB34" i="11"/>
  <c r="CA34" i="11"/>
  <c r="BZ34" i="11"/>
  <c r="BY34" i="11"/>
  <c r="BX34" i="11"/>
  <c r="BW34" i="11"/>
  <c r="BV34" i="11"/>
  <c r="BU34" i="11"/>
  <c r="BT34" i="11"/>
  <c r="BS34" i="11"/>
  <c r="BR34" i="11"/>
  <c r="BQ34" i="11"/>
  <c r="BP34" i="11"/>
  <c r="BO34" i="11"/>
  <c r="BN34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H34" i="11"/>
  <c r="F34" i="11"/>
  <c r="CI33" i="11"/>
  <c r="CH33" i="11"/>
  <c r="CG33" i="11"/>
  <c r="CF33" i="11"/>
  <c r="CE33" i="11"/>
  <c r="CD33" i="11"/>
  <c r="CC33" i="11"/>
  <c r="CB33" i="11"/>
  <c r="CA33" i="11"/>
  <c r="BZ33" i="11"/>
  <c r="BY33" i="11"/>
  <c r="BX33" i="11"/>
  <c r="BW33" i="11"/>
  <c r="BV33" i="11"/>
  <c r="BU33" i="11"/>
  <c r="BT33" i="11"/>
  <c r="BS33" i="11"/>
  <c r="BR33" i="11"/>
  <c r="BQ33" i="11"/>
  <c r="BP33" i="11"/>
  <c r="BO33" i="11"/>
  <c r="BN33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H33" i="11"/>
  <c r="F33" i="11"/>
  <c r="CI32" i="11"/>
  <c r="CH32" i="11"/>
  <c r="CG32" i="11"/>
  <c r="CF32" i="11"/>
  <c r="CE32" i="11"/>
  <c r="CD32" i="11"/>
  <c r="CC32" i="11"/>
  <c r="CB32" i="11"/>
  <c r="CA32" i="11"/>
  <c r="BZ32" i="11"/>
  <c r="BY32" i="11"/>
  <c r="BX32" i="11"/>
  <c r="BW32" i="11"/>
  <c r="BV32" i="11"/>
  <c r="BU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H32" i="11"/>
  <c r="F32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H31" i="11"/>
  <c r="F31" i="11"/>
  <c r="CN30" i="11"/>
  <c r="CM30" i="11"/>
  <c r="CL30" i="11"/>
  <c r="CK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F30" i="11"/>
  <c r="AE30" i="11"/>
  <c r="AD30" i="11"/>
  <c r="AC30" i="11"/>
  <c r="AB30" i="11"/>
  <c r="O30" i="11"/>
  <c r="M30" i="11"/>
  <c r="AG30" i="11" s="1"/>
  <c r="H30" i="11"/>
  <c r="CN29" i="11"/>
  <c r="CM29" i="11"/>
  <c r="CL29" i="11"/>
  <c r="CK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O29" i="11"/>
  <c r="M29" i="11"/>
  <c r="H29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M28" i="11"/>
  <c r="AD28" i="11" s="1"/>
  <c r="H28" i="11"/>
  <c r="F28" i="11"/>
  <c r="CI27" i="11"/>
  <c r="CH27" i="11"/>
  <c r="CG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H27" i="11"/>
  <c r="F27" i="11"/>
  <c r="CI26" i="11"/>
  <c r="CH26" i="11"/>
  <c r="CG26" i="11"/>
  <c r="CF26" i="11"/>
  <c r="CE26" i="11"/>
  <c r="CD26" i="11"/>
  <c r="CC26" i="11"/>
  <c r="CB26" i="11"/>
  <c r="CA26" i="11"/>
  <c r="BZ26" i="11"/>
  <c r="BY26" i="11"/>
  <c r="BX26" i="11"/>
  <c r="BW26" i="11"/>
  <c r="BV26" i="11"/>
  <c r="BU26" i="11"/>
  <c r="BT26" i="11"/>
  <c r="BS26" i="11"/>
  <c r="BR26" i="11"/>
  <c r="BQ26" i="11"/>
  <c r="BP26" i="11"/>
  <c r="BO26" i="11"/>
  <c r="BN26" i="11"/>
  <c r="BM26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H26" i="11"/>
  <c r="F26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H25" i="11"/>
  <c r="F25" i="11"/>
  <c r="CI24" i="11"/>
  <c r="CH24" i="11"/>
  <c r="CG24" i="11"/>
  <c r="CF24" i="11"/>
  <c r="CE24" i="11"/>
  <c r="CD24" i="11"/>
  <c r="CC24" i="11"/>
  <c r="CB24" i="11"/>
  <c r="CA24" i="11"/>
  <c r="BZ24" i="11"/>
  <c r="BY24" i="11"/>
  <c r="BX24" i="11"/>
  <c r="BW24" i="11"/>
  <c r="BV24" i="11"/>
  <c r="BU24" i="11"/>
  <c r="BT24" i="11"/>
  <c r="BS24" i="11"/>
  <c r="BR24" i="11"/>
  <c r="BQ24" i="11"/>
  <c r="BP24" i="11"/>
  <c r="BO24" i="11"/>
  <c r="BN24" i="11"/>
  <c r="BM24" i="11"/>
  <c r="BL24" i="11"/>
  <c r="BK24" i="11"/>
  <c r="BJ24" i="11"/>
  <c r="BI24" i="11"/>
  <c r="BH24" i="11"/>
  <c r="BG24" i="11"/>
  <c r="BF24" i="11"/>
  <c r="BE24" i="11"/>
  <c r="BD24" i="11"/>
  <c r="BC24" i="11"/>
  <c r="BB24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H24" i="11"/>
  <c r="F24" i="11"/>
  <c r="CI23" i="11"/>
  <c r="CH23" i="11"/>
  <c r="CG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H23" i="11"/>
  <c r="F23" i="11"/>
  <c r="CI22" i="11"/>
  <c r="CH22" i="11"/>
  <c r="CG22" i="11"/>
  <c r="CF22" i="11"/>
  <c r="CE22" i="11"/>
  <c r="CD22" i="11"/>
  <c r="CC22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H22" i="11"/>
  <c r="F22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H21" i="11"/>
  <c r="F21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H20" i="11"/>
  <c r="F20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H19" i="11"/>
  <c r="F19" i="11"/>
  <c r="CI18" i="11"/>
  <c r="CH18" i="11"/>
  <c r="CG18" i="11"/>
  <c r="CF18" i="11"/>
  <c r="CE18" i="11"/>
  <c r="CD18" i="11"/>
  <c r="CC18" i="11"/>
  <c r="CB18" i="11"/>
  <c r="CA18" i="11"/>
  <c r="BZ18" i="11"/>
  <c r="BY18" i="11"/>
  <c r="BX18" i="11"/>
  <c r="BW18" i="11"/>
  <c r="BV18" i="11"/>
  <c r="BU18" i="11"/>
  <c r="BT18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H18" i="11"/>
  <c r="F18" i="11"/>
  <c r="CI17" i="11"/>
  <c r="CH17" i="11"/>
  <c r="CG17" i="11"/>
  <c r="CF17" i="11"/>
  <c r="CE17" i="11"/>
  <c r="CD17" i="11"/>
  <c r="CC17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H17" i="11"/>
  <c r="F17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H16" i="11"/>
  <c r="F16" i="11"/>
  <c r="CI15" i="11"/>
  <c r="CH15" i="11"/>
  <c r="CG15" i="11"/>
  <c r="CF15" i="11"/>
  <c r="CE15" i="11"/>
  <c r="CD15" i="11"/>
  <c r="CC15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H15" i="11"/>
  <c r="F15" i="11"/>
  <c r="CI14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H14" i="11"/>
  <c r="F14" i="11"/>
  <c r="CI13" i="11"/>
  <c r="CH13" i="11"/>
  <c r="CG13" i="11"/>
  <c r="CF13" i="11"/>
  <c r="CE13" i="11"/>
  <c r="CD13" i="11"/>
  <c r="CC13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H13" i="11"/>
  <c r="F13" i="11"/>
  <c r="CI12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H12" i="11"/>
  <c r="F12" i="11"/>
  <c r="CI11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H11" i="11"/>
  <c r="F11" i="11"/>
  <c r="CI10" i="11"/>
  <c r="CH10" i="11"/>
  <c r="CG10" i="11"/>
  <c r="CF10" i="11"/>
  <c r="CE10" i="11"/>
  <c r="CD10" i="11"/>
  <c r="CC10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H10" i="11"/>
  <c r="F10" i="11"/>
  <c r="CI9" i="11"/>
  <c r="CH9" i="11"/>
  <c r="CG9" i="11"/>
  <c r="CF9" i="11"/>
  <c r="CE9" i="11"/>
  <c r="CD9" i="11"/>
  <c r="CC9" i="11"/>
  <c r="CB9" i="11"/>
  <c r="CA9" i="11"/>
  <c r="BZ9" i="11"/>
  <c r="BY9" i="11"/>
  <c r="BX9" i="11"/>
  <c r="BW9" i="11"/>
  <c r="BV9" i="11"/>
  <c r="BU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H9" i="11"/>
  <c r="F9" i="11"/>
  <c r="CI8" i="11"/>
  <c r="CH8" i="11"/>
  <c r="CG8" i="11"/>
  <c r="CF8" i="11"/>
  <c r="CE8" i="11"/>
  <c r="CD8" i="11"/>
  <c r="CC8" i="11"/>
  <c r="CB8" i="11"/>
  <c r="CA8" i="11"/>
  <c r="BZ8" i="11"/>
  <c r="BY8" i="11"/>
  <c r="BX8" i="11"/>
  <c r="BW8" i="11"/>
  <c r="BV8" i="11"/>
  <c r="BU8" i="11"/>
  <c r="BT8" i="11"/>
  <c r="BS8" i="11"/>
  <c r="BR8" i="11"/>
  <c r="BQ8" i="11"/>
  <c r="BP8" i="11"/>
  <c r="BO8" i="11"/>
  <c r="BN8" i="11"/>
  <c r="BM8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H8" i="11"/>
  <c r="F8" i="1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CE3" i="11"/>
  <c r="CD3" i="11"/>
  <c r="CC3" i="11"/>
  <c r="BP3" i="11"/>
  <c r="BA3" i="11"/>
  <c r="AA3" i="11"/>
  <c r="Y3" i="11"/>
  <c r="S3" i="11"/>
  <c r="CI2" i="11"/>
  <c r="CH2" i="11"/>
  <c r="CG2" i="11"/>
  <c r="CF2" i="11"/>
  <c r="CE2" i="11"/>
  <c r="CD2" i="11"/>
  <c r="CC2" i="11"/>
  <c r="CB2" i="11"/>
  <c r="CA2" i="11"/>
  <c r="BZ2" i="11"/>
  <c r="BY2" i="11"/>
  <c r="BX2" i="11"/>
  <c r="BW2" i="11"/>
  <c r="BV2" i="11"/>
  <c r="BU2" i="11"/>
  <c r="BT2" i="11"/>
  <c r="BS2" i="11"/>
  <c r="BR2" i="11"/>
  <c r="BQ2" i="11"/>
  <c r="BP2" i="11"/>
  <c r="BO2" i="11"/>
  <c r="BN2" i="11"/>
  <c r="BM2" i="11"/>
  <c r="BL2" i="11"/>
  <c r="BK2" i="11"/>
  <c r="BJ2" i="11"/>
  <c r="BI2" i="11"/>
  <c r="BH2" i="11"/>
  <c r="BG2" i="11"/>
  <c r="BF2" i="11"/>
  <c r="BE2" i="11"/>
  <c r="BD2" i="11"/>
  <c r="BC2" i="11"/>
  <c r="BB2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I1" i="11"/>
  <c r="CI3" i="11" s="1"/>
  <c r="CH1" i="11"/>
  <c r="CH3" i="11" s="1"/>
  <c r="CG1" i="11"/>
  <c r="CG3" i="11" s="1"/>
  <c r="CF1" i="11"/>
  <c r="CF3" i="11" s="1"/>
  <c r="CE1" i="11"/>
  <c r="CD1" i="11"/>
  <c r="CC1" i="11"/>
  <c r="CB1" i="11"/>
  <c r="CB3" i="11" s="1"/>
  <c r="CA1" i="11"/>
  <c r="CA3" i="11" s="1"/>
  <c r="BZ1" i="11"/>
  <c r="BZ3" i="11" s="1"/>
  <c r="BY1" i="11"/>
  <c r="BY3" i="11" s="1"/>
  <c r="BX1" i="11"/>
  <c r="BX3" i="11" s="1"/>
  <c r="BW1" i="11"/>
  <c r="BW3" i="11" s="1"/>
  <c r="BV1" i="11"/>
  <c r="BV3" i="11" s="1"/>
  <c r="BU1" i="11"/>
  <c r="BU3" i="11" s="1"/>
  <c r="BT1" i="11"/>
  <c r="BT3" i="11" s="1"/>
  <c r="BS1" i="11"/>
  <c r="BS3" i="11" s="1"/>
  <c r="BR1" i="11"/>
  <c r="BR3" i="11" s="1"/>
  <c r="BQ1" i="11"/>
  <c r="BQ3" i="11" s="1"/>
  <c r="BP1" i="11"/>
  <c r="BO1" i="11"/>
  <c r="BO3" i="11" s="1"/>
  <c r="BN1" i="11"/>
  <c r="BN3" i="11" s="1"/>
  <c r="BM1" i="11"/>
  <c r="BM3" i="11" s="1"/>
  <c r="BL1" i="11"/>
  <c r="BL3" i="11" s="1"/>
  <c r="BK1" i="11"/>
  <c r="BK3" i="11" s="1"/>
  <c r="BJ1" i="11"/>
  <c r="BJ3" i="11" s="1"/>
  <c r="BI1" i="11"/>
  <c r="BI3" i="11" s="1"/>
  <c r="BH1" i="11"/>
  <c r="BH3" i="11" s="1"/>
  <c r="BG1" i="11"/>
  <c r="BG3" i="11" s="1"/>
  <c r="BF1" i="11"/>
  <c r="BF3" i="11" s="1"/>
  <c r="BE1" i="11"/>
  <c r="BE3" i="11" s="1"/>
  <c r="BD1" i="11"/>
  <c r="BD3" i="11" s="1"/>
  <c r="BC1" i="11"/>
  <c r="BC3" i="11" s="1"/>
  <c r="BB1" i="11"/>
  <c r="BB3" i="11" s="1"/>
  <c r="BA1" i="11"/>
  <c r="AZ1" i="11"/>
  <c r="AZ3" i="11" s="1"/>
  <c r="AY1" i="11"/>
  <c r="AY3" i="11" s="1"/>
  <c r="AX1" i="11"/>
  <c r="AX3" i="11" s="1"/>
  <c r="AW1" i="11"/>
  <c r="AW3" i="11" s="1"/>
  <c r="AV1" i="11"/>
  <c r="AV3" i="11" s="1"/>
  <c r="AU1" i="11"/>
  <c r="AU3" i="11" s="1"/>
  <c r="AT1" i="11"/>
  <c r="AT3" i="11" s="1"/>
  <c r="AS1" i="11"/>
  <c r="AS3" i="11" s="1"/>
  <c r="AR1" i="11"/>
  <c r="AR3" i="11" s="1"/>
  <c r="AQ1" i="11"/>
  <c r="AQ3" i="11" s="1"/>
  <c r="AP1" i="11"/>
  <c r="AP3" i="11" s="1"/>
  <c r="AO1" i="11"/>
  <c r="AO3" i="11" s="1"/>
  <c r="AN1" i="11"/>
  <c r="AN3" i="11" s="1"/>
  <c r="AM1" i="11"/>
  <c r="AM3" i="11" s="1"/>
  <c r="AL1" i="11"/>
  <c r="AL3" i="11" s="1"/>
  <c r="AK1" i="11"/>
  <c r="AK3" i="11" s="1"/>
  <c r="AJ1" i="11"/>
  <c r="AJ3" i="11" s="1"/>
  <c r="AI1" i="11"/>
  <c r="AI3" i="11" s="1"/>
  <c r="AH1" i="11"/>
  <c r="AH3" i="11" s="1"/>
  <c r="AG1" i="11"/>
  <c r="AG3" i="11" s="1"/>
  <c r="AF1" i="11"/>
  <c r="AF3" i="11" s="1"/>
  <c r="AE1" i="11"/>
  <c r="AE3" i="11" s="1"/>
  <c r="AD1" i="11"/>
  <c r="AD3" i="11" s="1"/>
  <c r="AC1" i="11"/>
  <c r="AC3" i="11" s="1"/>
  <c r="AB1" i="11"/>
  <c r="AB3" i="11" s="1"/>
  <c r="AA1" i="11"/>
  <c r="Z1" i="11"/>
  <c r="Z3" i="11" s="1"/>
  <c r="Y1" i="11"/>
  <c r="X1" i="11"/>
  <c r="X3" i="11" s="1"/>
  <c r="W1" i="11"/>
  <c r="W3" i="11" s="1"/>
  <c r="V1" i="11"/>
  <c r="V3" i="11" s="1"/>
  <c r="U1" i="11"/>
  <c r="U3" i="11" s="1"/>
  <c r="T1" i="11"/>
  <c r="T3" i="11" s="1"/>
  <c r="S1" i="11"/>
  <c r="R1" i="11"/>
  <c r="R3" i="11" s="1"/>
  <c r="Q1" i="11"/>
  <c r="Q3" i="11" s="1"/>
  <c r="P1" i="11"/>
  <c r="P3" i="11" s="1"/>
  <c r="F37" i="2" l="1"/>
  <c r="F94" i="2"/>
  <c r="F22" i="2"/>
  <c r="F6" i="2"/>
  <c r="CQ45" i="11"/>
  <c r="CN14" i="11"/>
  <c r="CQ15" i="11"/>
  <c r="CM23" i="11"/>
  <c r="CR9" i="11"/>
  <c r="CQ18" i="11"/>
  <c r="CL21" i="11"/>
  <c r="CR30" i="11"/>
  <c r="F4" i="17"/>
  <c r="F2" i="17" s="1"/>
  <c r="CQ35" i="11"/>
  <c r="CR11" i="11"/>
  <c r="CM14" i="11"/>
  <c r="CL46" i="11"/>
  <c r="CO11" i="11"/>
  <c r="CR12" i="11"/>
  <c r="CM15" i="11"/>
  <c r="CN20" i="11"/>
  <c r="DJ20" i="11" s="1"/>
  <c r="CQ21" i="11"/>
  <c r="CR26" i="11"/>
  <c r="CQ29" i="11"/>
  <c r="CP43" i="11"/>
  <c r="CR27" i="11"/>
  <c r="CO30" i="11"/>
  <c r="CK15" i="11"/>
  <c r="DJ14" i="11"/>
  <c r="CM36" i="11"/>
  <c r="CN38" i="11"/>
  <c r="DJ38" i="11" s="1"/>
  <c r="CN41" i="11"/>
  <c r="CL42" i="11"/>
  <c r="AG42" i="11"/>
  <c r="AG57" i="11" s="1"/>
  <c r="CO43" i="11"/>
  <c r="CM44" i="11"/>
  <c r="CP30" i="11"/>
  <c r="CM33" i="11"/>
  <c r="CR36" i="11"/>
  <c r="CO9" i="11"/>
  <c r="CO35" i="11"/>
  <c r="CQ11" i="11"/>
  <c r="CK12" i="11"/>
  <c r="CN13" i="11"/>
  <c r="DJ13" i="11" s="1"/>
  <c r="CR19" i="11"/>
  <c r="CM22" i="11"/>
  <c r="CN23" i="11"/>
  <c r="DJ23" i="11" s="1"/>
  <c r="CP8" i="11"/>
  <c r="CQ10" i="11"/>
  <c r="CQ24" i="11"/>
  <c r="CP50" i="11"/>
  <c r="CK14" i="11"/>
  <c r="CL19" i="11"/>
  <c r="CL47" i="11"/>
  <c r="CR49" i="11"/>
  <c r="CN24" i="11"/>
  <c r="DJ24" i="11" s="1"/>
  <c r="CR24" i="11"/>
  <c r="CP12" i="11"/>
  <c r="CO21" i="11"/>
  <c r="CQ34" i="11"/>
  <c r="CR42" i="11"/>
  <c r="CO27" i="11"/>
  <c r="CM28" i="11"/>
  <c r="CO36" i="11"/>
  <c r="CN50" i="11"/>
  <c r="CQ51" i="11"/>
  <c r="CL22" i="11"/>
  <c r="CQ26" i="11"/>
  <c r="CP29" i="11"/>
  <c r="CM48" i="11"/>
  <c r="CP49" i="11"/>
  <c r="CM9" i="11"/>
  <c r="CR25" i="11"/>
  <c r="CN27" i="11"/>
  <c r="DJ27" i="11" s="1"/>
  <c r="CM31" i="11"/>
  <c r="CO46" i="11"/>
  <c r="CQ50" i="11"/>
  <c r="CM42" i="11"/>
  <c r="CN12" i="11"/>
  <c r="DJ12" i="11" s="1"/>
  <c r="CR23" i="11"/>
  <c r="CL27" i="11"/>
  <c r="CM43" i="11"/>
  <c r="CL11" i="11"/>
  <c r="CN18" i="11"/>
  <c r="DJ18" i="11" s="1"/>
  <c r="CO34" i="11"/>
  <c r="CR35" i="11"/>
  <c r="CQ41" i="11"/>
  <c r="CM8" i="11"/>
  <c r="CK31" i="11"/>
  <c r="CL33" i="11"/>
  <c r="CM27" i="11"/>
  <c r="CP28" i="11"/>
  <c r="CP31" i="11"/>
  <c r="CM46" i="11"/>
  <c r="CR46" i="11"/>
  <c r="CK50" i="11"/>
  <c r="CN51" i="11"/>
  <c r="DJ51" i="11" s="1"/>
  <c r="CQ52" i="11"/>
  <c r="CQ36" i="11"/>
  <c r="CK42" i="11"/>
  <c r="CP40" i="11"/>
  <c r="CR44" i="11"/>
  <c r="CM11" i="11"/>
  <c r="CL15" i="11"/>
  <c r="CO16" i="11"/>
  <c r="CM20" i="11"/>
  <c r="CO24" i="11"/>
  <c r="CM25" i="11"/>
  <c r="CP26" i="11"/>
  <c r="CL28" i="11"/>
  <c r="CQ31" i="11"/>
  <c r="CO40" i="11"/>
  <c r="CL44" i="11"/>
  <c r="CN48" i="11"/>
  <c r="DJ48" i="11" s="1"/>
  <c r="CM51" i="11"/>
  <c r="CN33" i="11"/>
  <c r="DJ33" i="11" s="1"/>
  <c r="CO45" i="11"/>
  <c r="CQ49" i="11"/>
  <c r="CK40" i="11"/>
  <c r="CP19" i="11"/>
  <c r="CN25" i="11"/>
  <c r="DJ25" i="11" s="1"/>
  <c r="CL32" i="11"/>
  <c r="CP45" i="11"/>
  <c r="CM52" i="11"/>
  <c r="CP48" i="11"/>
  <c r="CP21" i="11"/>
  <c r="CP32" i="11"/>
  <c r="CL13" i="11"/>
  <c r="CO14" i="11"/>
  <c r="CQ37" i="11"/>
  <c r="CR39" i="11"/>
  <c r="CL8" i="11"/>
  <c r="AI57" i="11"/>
  <c r="AW57" i="11"/>
  <c r="BK57" i="11"/>
  <c r="BY57" i="11"/>
  <c r="CL16" i="11"/>
  <c r="CM21" i="11"/>
  <c r="CL24" i="11"/>
  <c r="CN31" i="11"/>
  <c r="DJ31" i="11" s="1"/>
  <c r="CR31" i="11"/>
  <c r="CQ32" i="11"/>
  <c r="CN36" i="11"/>
  <c r="DJ36" i="11" s="1"/>
  <c r="CM47" i="11"/>
  <c r="CO51" i="11"/>
  <c r="CK9" i="11"/>
  <c r="CP9" i="11"/>
  <c r="CN10" i="11"/>
  <c r="DJ10" i="11" s="1"/>
  <c r="CO12" i="11"/>
  <c r="CR13" i="11"/>
  <c r="CM16" i="11"/>
  <c r="CP17" i="11"/>
  <c r="CR32" i="11"/>
  <c r="CM37" i="11"/>
  <c r="CN44" i="11"/>
  <c r="DJ44" i="11" s="1"/>
  <c r="CL9" i="11"/>
  <c r="CM19" i="11"/>
  <c r="CO23" i="11"/>
  <c r="CP25" i="11"/>
  <c r="CN37" i="11"/>
  <c r="DJ37" i="11" s="1"/>
  <c r="CL38" i="11"/>
  <c r="CR40" i="11"/>
  <c r="CR21" i="11"/>
  <c r="CR34" i="11"/>
  <c r="CK49" i="11"/>
  <c r="CQ17" i="11"/>
  <c r="CK18" i="11"/>
  <c r="CP39" i="11"/>
  <c r="CR43" i="11"/>
  <c r="CK52" i="11"/>
  <c r="CP52" i="11"/>
  <c r="CN11" i="11"/>
  <c r="DJ11" i="11" s="1"/>
  <c r="CO13" i="11"/>
  <c r="CP18" i="11"/>
  <c r="CN19" i="11"/>
  <c r="DJ19" i="11" s="1"/>
  <c r="CK21" i="11"/>
  <c r="CK26" i="11"/>
  <c r="CR38" i="11"/>
  <c r="CM41" i="11"/>
  <c r="CR48" i="11"/>
  <c r="CL49" i="11"/>
  <c r="CO48" i="11"/>
  <c r="AE57" i="11"/>
  <c r="CN40" i="11"/>
  <c r="DJ40" i="11" s="1"/>
  <c r="CO15" i="11"/>
  <c r="CO44" i="11"/>
  <c r="CN16" i="11"/>
  <c r="DJ16" i="11" s="1"/>
  <c r="CR16" i="11"/>
  <c r="CL17" i="11"/>
  <c r="CK22" i="11"/>
  <c r="CO22" i="11"/>
  <c r="CK24" i="11"/>
  <c r="CP24" i="11"/>
  <c r="CK28" i="11"/>
  <c r="CO31" i="11"/>
  <c r="CM34" i="11"/>
  <c r="CK37" i="11"/>
  <c r="CP37" i="11"/>
  <c r="CQ39" i="11"/>
  <c r="CR41" i="11"/>
  <c r="CK44" i="11"/>
  <c r="CR45" i="11"/>
  <c r="CN47" i="11"/>
  <c r="DJ47" i="11" s="1"/>
  <c r="CK48" i="11"/>
  <c r="CN49" i="11"/>
  <c r="DJ49" i="11" s="1"/>
  <c r="CL50" i="11"/>
  <c r="CK17" i="11"/>
  <c r="CO26" i="11"/>
  <c r="CP11" i="11"/>
  <c r="CR14" i="11"/>
  <c r="CM10" i="11"/>
  <c r="CR10" i="11"/>
  <c r="CK13" i="11"/>
  <c r="CP13" i="11"/>
  <c r="CO18" i="11"/>
  <c r="CO20" i="11"/>
  <c r="CP22" i="11"/>
  <c r="CQ28" i="11"/>
  <c r="CR29" i="11"/>
  <c r="CK33" i="11"/>
  <c r="CL37" i="11"/>
  <c r="CP44" i="11"/>
  <c r="CK46" i="11"/>
  <c r="CP46" i="11"/>
  <c r="CP35" i="11"/>
  <c r="CK20" i="11"/>
  <c r="CP20" i="11"/>
  <c r="CQ22" i="11"/>
  <c r="CO25" i="11"/>
  <c r="CR28" i="11"/>
  <c r="CP33" i="11"/>
  <c r="CL35" i="11"/>
  <c r="CK38" i="11"/>
  <c r="CL40" i="11"/>
  <c r="CQ42" i="11"/>
  <c r="CO49" i="11"/>
  <c r="CR50" i="11"/>
  <c r="CP51" i="11"/>
  <c r="CN52" i="11"/>
  <c r="DJ52" i="11" s="1"/>
  <c r="CM13" i="11"/>
  <c r="CM17" i="11"/>
  <c r="CR17" i="11"/>
  <c r="CN21" i="11"/>
  <c r="DJ21" i="11" s="1"/>
  <c r="CO29" i="11"/>
  <c r="CL31" i="11"/>
  <c r="CN32" i="11"/>
  <c r="DJ32" i="11" s="1"/>
  <c r="CQ33" i="11"/>
  <c r="CN39" i="11"/>
  <c r="DJ39" i="11" s="1"/>
  <c r="CQ40" i="11"/>
  <c r="CO41" i="11"/>
  <c r="CK47" i="11"/>
  <c r="CL26" i="11"/>
  <c r="CK35" i="11"/>
  <c r="CN45" i="11"/>
  <c r="DJ45" i="11" s="1"/>
  <c r="BF57" i="11"/>
  <c r="BT57" i="11"/>
  <c r="CN17" i="11"/>
  <c r="DJ17" i="11" s="1"/>
  <c r="CP38" i="11"/>
  <c r="Q57" i="11"/>
  <c r="AS57" i="11"/>
  <c r="BU57" i="11"/>
  <c r="CI57" i="11"/>
  <c r="CK16" i="11"/>
  <c r="CQ20" i="11"/>
  <c r="CK27" i="11"/>
  <c r="CK43" i="11"/>
  <c r="CR15" i="11"/>
  <c r="CK36" i="11"/>
  <c r="CQ38" i="11"/>
  <c r="CK10" i="11"/>
  <c r="CP14" i="11"/>
  <c r="CR20" i="11"/>
  <c r="CR22" i="11"/>
  <c r="CK23" i="11"/>
  <c r="CP23" i="11"/>
  <c r="CL25" i="11"/>
  <c r="CN26" i="11"/>
  <c r="DJ26" i="11" s="1"/>
  <c r="CK32" i="11"/>
  <c r="CR33" i="11"/>
  <c r="CK34" i="11"/>
  <c r="CP34" i="11"/>
  <c r="CL36" i="11"/>
  <c r="CK41" i="11"/>
  <c r="CP41" i="11"/>
  <c r="CN42" i="11"/>
  <c r="DJ42" i="11" s="1"/>
  <c r="CO50" i="11"/>
  <c r="BA57" i="11"/>
  <c r="BO57" i="11"/>
  <c r="CM39" i="11"/>
  <c r="AR57" i="11"/>
  <c r="CH57" i="11"/>
  <c r="CM24" i="11"/>
  <c r="CP27" i="11"/>
  <c r="CN28" i="11"/>
  <c r="DJ28" i="11" s="1"/>
  <c r="CO32" i="11"/>
  <c r="CM35" i="11"/>
  <c r="BI57" i="11"/>
  <c r="CL12" i="11"/>
  <c r="CQ16" i="11"/>
  <c r="CO17" i="11"/>
  <c r="AN57" i="11"/>
  <c r="CD57" i="11"/>
  <c r="CL10" i="11"/>
  <c r="CQ12" i="11"/>
  <c r="CQ14" i="11"/>
  <c r="CM18" i="11"/>
  <c r="CK19" i="11"/>
  <c r="CO19" i="11"/>
  <c r="CN22" i="11"/>
  <c r="DJ22" i="11" s="1"/>
  <c r="CL23" i="11"/>
  <c r="CQ25" i="11"/>
  <c r="CO37" i="11"/>
  <c r="CK39" i="11"/>
  <c r="CO39" i="11"/>
  <c r="CL41" i="11"/>
  <c r="CQ43" i="11"/>
  <c r="CL45" i="11"/>
  <c r="CN46" i="11"/>
  <c r="DJ46" i="11" s="1"/>
  <c r="CQ47" i="11"/>
  <c r="CR51" i="11"/>
  <c r="CX45" i="11"/>
  <c r="CV39" i="11"/>
  <c r="DF35" i="11"/>
  <c r="DG28" i="11"/>
  <c r="DH22" i="11"/>
  <c r="CX17" i="11"/>
  <c r="DC16" i="11"/>
  <c r="DE10" i="11"/>
  <c r="DG9" i="11"/>
  <c r="CW11" i="11"/>
  <c r="CY23" i="11"/>
  <c r="DE18" i="11"/>
  <c r="A31" i="11"/>
  <c r="A32" i="11" s="1"/>
  <c r="A33" i="11"/>
  <c r="A34" i="11" s="1"/>
  <c r="AC57" i="11"/>
  <c r="BE57" i="11"/>
  <c r="DF9" i="11"/>
  <c r="CY10" i="11"/>
  <c r="CZ16" i="11"/>
  <c r="CU17" i="11"/>
  <c r="CL18" i="11"/>
  <c r="DG22" i="11"/>
  <c r="CS23" i="11"/>
  <c r="DD28" i="11"/>
  <c r="CW35" i="11"/>
  <c r="CT39" i="11"/>
  <c r="CT45" i="11"/>
  <c r="CL48" i="11"/>
  <c r="Y57" i="11"/>
  <c r="CX11" i="11"/>
  <c r="CY17" i="11"/>
  <c r="CU29" i="11"/>
  <c r="CZ48" i="11"/>
  <c r="AT57" i="11"/>
  <c r="BH57" i="11"/>
  <c r="DA11" i="11"/>
  <c r="CV12" i="11"/>
  <c r="DG16" i="11"/>
  <c r="DE17" i="11"/>
  <c r="CW18" i="11"/>
  <c r="DC23" i="11"/>
  <c r="CX24" i="11"/>
  <c r="CX29" i="11"/>
  <c r="CY34" i="11"/>
  <c r="DG48" i="11"/>
  <c r="DC51" i="11"/>
  <c r="CS12" i="11"/>
  <c r="CU24" i="11"/>
  <c r="DH28" i="11"/>
  <c r="CW51" i="11"/>
  <c r="S57" i="11"/>
  <c r="AU57" i="11"/>
  <c r="BW57" i="11"/>
  <c r="DD11" i="11"/>
  <c r="CM12" i="11"/>
  <c r="CW12" i="11"/>
  <c r="CQ13" i="11"/>
  <c r="CU13" i="11"/>
  <c r="CL14" i="11"/>
  <c r="CP15" i="11"/>
  <c r="DF17" i="11"/>
  <c r="CR18" i="11"/>
  <c r="CX18" i="11"/>
  <c r="CQ19" i="11"/>
  <c r="CS19" i="11"/>
  <c r="CL20" i="11"/>
  <c r="DF23" i="11"/>
  <c r="CY24" i="11"/>
  <c r="CO28" i="11"/>
  <c r="CY29" i="11"/>
  <c r="CQ30" i="11"/>
  <c r="DF34" i="11"/>
  <c r="CN35" i="11"/>
  <c r="DJ35" i="11" s="1"/>
  <c r="CX38" i="11"/>
  <c r="DC44" i="11"/>
  <c r="DH51" i="11"/>
  <c r="DF10" i="11"/>
  <c r="DF16" i="11"/>
  <c r="CZ23" i="11"/>
  <c r="DD39" i="11"/>
  <c r="T57" i="11"/>
  <c r="AH57" i="11"/>
  <c r="CQ8" i="11"/>
  <c r="AV57" i="11"/>
  <c r="BJ57" i="11"/>
  <c r="BX57" i="11"/>
  <c r="CS8" i="11"/>
  <c r="AB57" i="11"/>
  <c r="CO10" i="11"/>
  <c r="BD57" i="11"/>
  <c r="BR57" i="11"/>
  <c r="DE11" i="11"/>
  <c r="DC12" i="11"/>
  <c r="CV13" i="11"/>
  <c r="DA18" i="11"/>
  <c r="CV19" i="11"/>
  <c r="DG23" i="11"/>
  <c r="DE24" i="11"/>
  <c r="CW25" i="11"/>
  <c r="DE29" i="11"/>
  <c r="CU33" i="11"/>
  <c r="CS37" i="11"/>
  <c r="DE38" i="11"/>
  <c r="CV47" i="11"/>
  <c r="CY13" i="11"/>
  <c r="BZ57" i="11"/>
  <c r="DB13" i="11"/>
  <c r="DC19" i="11"/>
  <c r="CV20" i="11"/>
  <c r="DA25" i="11"/>
  <c r="CU31" i="11"/>
  <c r="CX32" i="11"/>
  <c r="DF33" i="11"/>
  <c r="DE37" i="11"/>
  <c r="DF43" i="11"/>
  <c r="DG47" i="11"/>
  <c r="CZ50" i="11"/>
  <c r="CZ8" i="11"/>
  <c r="CQ9" i="11"/>
  <c r="CP10" i="11"/>
  <c r="DC13" i="11"/>
  <c r="DA14" i="11"/>
  <c r="CT15" i="11"/>
  <c r="CP16" i="11"/>
  <c r="DD19" i="11"/>
  <c r="CY20" i="11"/>
  <c r="CT21" i="11"/>
  <c r="DD25" i="11"/>
  <c r="CM26" i="11"/>
  <c r="CW26" i="11"/>
  <c r="CQ27" i="11"/>
  <c r="CU27" i="11"/>
  <c r="CV30" i="11"/>
  <c r="CV31" i="11"/>
  <c r="CM32" i="11"/>
  <c r="DC32" i="11"/>
  <c r="DG33" i="11"/>
  <c r="DF37" i="11"/>
  <c r="CT41" i="11"/>
  <c r="CU42" i="11"/>
  <c r="P57" i="11"/>
  <c r="CK8" i="11"/>
  <c r="BV57" i="11"/>
  <c r="V57" i="11"/>
  <c r="CU14" i="11"/>
  <c r="CV26" i="11"/>
  <c r="DA8" i="11"/>
  <c r="CK11" i="11"/>
  <c r="DB14" i="11"/>
  <c r="CW15" i="11"/>
  <c r="DG19" i="11"/>
  <c r="DB20" i="11"/>
  <c r="CU21" i="11"/>
  <c r="CS22" i="11"/>
  <c r="DE25" i="11"/>
  <c r="DC26" i="11"/>
  <c r="CV27" i="11"/>
  <c r="CZ30" i="11"/>
  <c r="DC31" i="11"/>
  <c r="DG32" i="11"/>
  <c r="CX36" i="11"/>
  <c r="CR37" i="11"/>
  <c r="CZ41" i="11"/>
  <c r="DA42" i="11"/>
  <c r="CY46" i="11"/>
  <c r="CR47" i="11"/>
  <c r="AD57" i="11"/>
  <c r="CO8" i="11"/>
  <c r="CT14" i="11"/>
  <c r="CC57" i="11"/>
  <c r="Z57" i="11"/>
  <c r="CN8" i="11"/>
  <c r="DJ8" i="11" s="1"/>
  <c r="BB57" i="11"/>
  <c r="BP57" i="11"/>
  <c r="DH8" i="11"/>
  <c r="CY9" i="11"/>
  <c r="DH14" i="11"/>
  <c r="DA15" i="11"/>
  <c r="DB21" i="11"/>
  <c r="CW22" i="11"/>
  <c r="DG26" i="11"/>
  <c r="DB27" i="11"/>
  <c r="CT28" i="11"/>
  <c r="DD30" i="11"/>
  <c r="DC36" i="11"/>
  <c r="CU40" i="11"/>
  <c r="DF41" i="11"/>
  <c r="DG42" i="11"/>
  <c r="CT49" i="11"/>
  <c r="DE14" i="11"/>
  <c r="BC57" i="11"/>
  <c r="CU10" i="11"/>
  <c r="DG15" i="11"/>
  <c r="CS16" i="11"/>
  <c r="DE21" i="11"/>
  <c r="CZ22" i="11"/>
  <c r="CQ23" i="11"/>
  <c r="DC27" i="11"/>
  <c r="CZ28" i="11"/>
  <c r="CZ40" i="11"/>
  <c r="DE49" i="11"/>
  <c r="CV55" i="11"/>
  <c r="CT8" i="11"/>
  <c r="CG57" i="11"/>
  <c r="DD12" i="11"/>
  <c r="DD18" i="11"/>
  <c r="CW19" i="11"/>
  <c r="CU20" i="11"/>
  <c r="DF24" i="11"/>
  <c r="CX25" i="11"/>
  <c r="CS26" i="11"/>
  <c r="DJ29" i="11"/>
  <c r="DA33" i="11"/>
  <c r="CZ37" i="11"/>
  <c r="CY43" i="11"/>
  <c r="DB47" i="11"/>
  <c r="CV50" i="11"/>
  <c r="CW8" i="11"/>
  <c r="DG12" i="11"/>
  <c r="CS15" i="11"/>
  <c r="DC55" i="11"/>
  <c r="DB55" i="11"/>
  <c r="CV52" i="11"/>
  <c r="DD55" i="11"/>
  <c r="DH52" i="11"/>
  <c r="CS52" i="11"/>
  <c r="CZ51" i="11"/>
  <c r="DH50" i="11"/>
  <c r="CT50" i="11"/>
  <c r="DB49" i="11"/>
  <c r="CV48" i="11"/>
  <c r="DD47" i="11"/>
  <c r="CX46" i="11"/>
  <c r="DF45" i="11"/>
  <c r="CZ44" i="11"/>
  <c r="CU43" i="11"/>
  <c r="DC42" i="11"/>
  <c r="CX41" i="11"/>
  <c r="DF40" i="11"/>
  <c r="CZ39" i="11"/>
  <c r="DH38" i="11"/>
  <c r="CT38" i="11"/>
  <c r="DC37" i="11"/>
  <c r="CW36" i="11"/>
  <c r="DC35" i="11"/>
  <c r="CU34" i="11"/>
  <c r="DC33" i="11"/>
  <c r="CW32" i="11"/>
  <c r="DA55" i="11"/>
  <c r="DG52" i="11"/>
  <c r="CY51" i="11"/>
  <c r="DG50" i="11"/>
  <c r="CS50" i="11"/>
  <c r="DA49" i="11"/>
  <c r="CU48" i="11"/>
  <c r="DC47" i="11"/>
  <c r="CW46" i="11"/>
  <c r="DE45" i="11"/>
  <c r="CY44" i="11"/>
  <c r="DH43" i="11"/>
  <c r="CT43" i="11"/>
  <c r="DB42" i="11"/>
  <c r="CW41" i="11"/>
  <c r="DE40" i="11"/>
  <c r="CY39" i="11"/>
  <c r="DG38" i="11"/>
  <c r="CS38" i="11"/>
  <c r="DB37" i="11"/>
  <c r="CV36" i="11"/>
  <c r="DB35" i="11"/>
  <c r="DH34" i="11"/>
  <c r="CT34" i="11"/>
  <c r="DB33" i="11"/>
  <c r="CX55" i="11"/>
  <c r="DD52" i="11"/>
  <c r="CV51" i="11"/>
  <c r="CW55" i="11"/>
  <c r="DC52" i="11"/>
  <c r="CU51" i="11"/>
  <c r="DC50" i="11"/>
  <c r="CW49" i="11"/>
  <c r="DE48" i="11"/>
  <c r="CY47" i="11"/>
  <c r="DG46" i="11"/>
  <c r="CS46" i="11"/>
  <c r="DA45" i="11"/>
  <c r="CU44" i="11"/>
  <c r="DD43" i="11"/>
  <c r="CX42" i="11"/>
  <c r="DG41" i="11"/>
  <c r="CS41" i="11"/>
  <c r="DA40" i="11"/>
  <c r="CU39" i="11"/>
  <c r="DC38" i="11"/>
  <c r="CX37" i="11"/>
  <c r="DF36" i="11"/>
  <c r="CX35" i="11"/>
  <c r="DD34" i="11"/>
  <c r="CX33" i="11"/>
  <c r="DF32" i="11"/>
  <c r="CZ31" i="11"/>
  <c r="CU55" i="11"/>
  <c r="DA52" i="11"/>
  <c r="DG51" i="11"/>
  <c r="CS51" i="11"/>
  <c r="DA50" i="11"/>
  <c r="CU49" i="11"/>
  <c r="DC48" i="11"/>
  <c r="CW47" i="11"/>
  <c r="DE46" i="11"/>
  <c r="CY45" i="11"/>
  <c r="DG44" i="11"/>
  <c r="CS44" i="11"/>
  <c r="DB43" i="11"/>
  <c r="CV42" i="11"/>
  <c r="DE41" i="11"/>
  <c r="CY40" i="11"/>
  <c r="DG39" i="11"/>
  <c r="CS39" i="11"/>
  <c r="DA38" i="11"/>
  <c r="CV37" i="11"/>
  <c r="DD36" i="11"/>
  <c r="CV35" i="11"/>
  <c r="DB34" i="11"/>
  <c r="CV33" i="11"/>
  <c r="CS55" i="11"/>
  <c r="CY52" i="11"/>
  <c r="DE51" i="11"/>
  <c r="CY50" i="11"/>
  <c r="DG49" i="11"/>
  <c r="CS49" i="11"/>
  <c r="DA48" i="11"/>
  <c r="CU47" i="11"/>
  <c r="DC46" i="11"/>
  <c r="CW45" i="11"/>
  <c r="DE44" i="11"/>
  <c r="CZ43" i="11"/>
  <c r="DH42" i="11"/>
  <c r="CT42" i="11"/>
  <c r="DC41" i="11"/>
  <c r="CW40" i="11"/>
  <c r="DE39" i="11"/>
  <c r="CY38" i="11"/>
  <c r="DH37" i="11"/>
  <c r="CT37" i="11"/>
  <c r="DB36" i="11"/>
  <c r="DH35" i="11"/>
  <c r="CT35" i="11"/>
  <c r="CZ34" i="11"/>
  <c r="DH33" i="11"/>
  <c r="CT33" i="11"/>
  <c r="DB32" i="11"/>
  <c r="CZ55" i="11"/>
  <c r="CU52" i="11"/>
  <c r="DF51" i="11"/>
  <c r="CX50" i="11"/>
  <c r="DF47" i="11"/>
  <c r="DA46" i="11"/>
  <c r="CV45" i="11"/>
  <c r="DE42" i="11"/>
  <c r="DB41" i="11"/>
  <c r="CX40" i="11"/>
  <c r="DD37" i="11"/>
  <c r="CZ36" i="11"/>
  <c r="CS35" i="11"/>
  <c r="DE33" i="11"/>
  <c r="DE32" i="11"/>
  <c r="CT31" i="11"/>
  <c r="DB30" i="11"/>
  <c r="CW29" i="11"/>
  <c r="DF28" i="11"/>
  <c r="DA27" i="11"/>
  <c r="CU26" i="11"/>
  <c r="DC25" i="11"/>
  <c r="CW24" i="11"/>
  <c r="DE23" i="11"/>
  <c r="CY22" i="11"/>
  <c r="DG21" i="11"/>
  <c r="CS21" i="11"/>
  <c r="DA20" i="11"/>
  <c r="CU19" i="11"/>
  <c r="DC18" i="11"/>
  <c r="CW17" i="11"/>
  <c r="DE16" i="11"/>
  <c r="CY15" i="11"/>
  <c r="DG14" i="11"/>
  <c r="CS14" i="11"/>
  <c r="DA13" i="11"/>
  <c r="CU12" i="11"/>
  <c r="DC11" i="11"/>
  <c r="CW10" i="11"/>
  <c r="DE9" i="11"/>
  <c r="CY8" i="11"/>
  <c r="DF38" i="11"/>
  <c r="DD32" i="11"/>
  <c r="CS31" i="11"/>
  <c r="CV29" i="11"/>
  <c r="CT26" i="11"/>
  <c r="CV24" i="11"/>
  <c r="CX22" i="11"/>
  <c r="CZ20" i="11"/>
  <c r="CT19" i="11"/>
  <c r="CV17" i="11"/>
  <c r="CX15" i="11"/>
  <c r="DH12" i="11"/>
  <c r="DB11" i="11"/>
  <c r="CX8" i="11"/>
  <c r="CY55" i="11"/>
  <c r="CT52" i="11"/>
  <c r="DD51" i="11"/>
  <c r="CW50" i="11"/>
  <c r="DH48" i="11"/>
  <c r="DE47" i="11"/>
  <c r="CZ46" i="11"/>
  <c r="CU45" i="11"/>
  <c r="DG43" i="11"/>
  <c r="DD42" i="11"/>
  <c r="DA41" i="11"/>
  <c r="CV40" i="11"/>
  <c r="DA37" i="11"/>
  <c r="CY36" i="11"/>
  <c r="DG34" i="11"/>
  <c r="DD33" i="11"/>
  <c r="DH31" i="11"/>
  <c r="DA30" i="11"/>
  <c r="DE28" i="11"/>
  <c r="CZ27" i="11"/>
  <c r="DH26" i="11"/>
  <c r="DB25" i="11"/>
  <c r="DD23" i="11"/>
  <c r="DF21" i="11"/>
  <c r="DH19" i="11"/>
  <c r="DB18" i="11"/>
  <c r="DD16" i="11"/>
  <c r="DF14" i="11"/>
  <c r="CZ13" i="11"/>
  <c r="CT12" i="11"/>
  <c r="CV10" i="11"/>
  <c r="DD9" i="11"/>
  <c r="CT55" i="11"/>
  <c r="DB51" i="11"/>
  <c r="CU50" i="11"/>
  <c r="DF48" i="11"/>
  <c r="DA47" i="11"/>
  <c r="CV46" i="11"/>
  <c r="CS45" i="11"/>
  <c r="DH44" i="11"/>
  <c r="DE43" i="11"/>
  <c r="CZ42" i="11"/>
  <c r="CY41" i="11"/>
  <c r="CT40" i="11"/>
  <c r="DD38" i="11"/>
  <c r="CY37" i="11"/>
  <c r="CU36" i="11"/>
  <c r="DE34" i="11"/>
  <c r="CZ33" i="11"/>
  <c r="DA32" i="11"/>
  <c r="DF31" i="11"/>
  <c r="CY30" i="11"/>
  <c r="DH29" i="11"/>
  <c r="CT29" i="11"/>
  <c r="DC28" i="11"/>
  <c r="CX27" i="11"/>
  <c r="DF26" i="11"/>
  <c r="CZ25" i="11"/>
  <c r="DH24" i="11"/>
  <c r="CT24" i="11"/>
  <c r="DB23" i="11"/>
  <c r="CV22" i="11"/>
  <c r="DD21" i="11"/>
  <c r="CX20" i="11"/>
  <c r="DF19" i="11"/>
  <c r="CZ18" i="11"/>
  <c r="DH17" i="11"/>
  <c r="CT17" i="11"/>
  <c r="DB16" i="11"/>
  <c r="CV15" i="11"/>
  <c r="DD14" i="11"/>
  <c r="CX13" i="11"/>
  <c r="DF12" i="11"/>
  <c r="CZ11" i="11"/>
  <c r="DH10" i="11"/>
  <c r="CT10" i="11"/>
  <c r="DB9" i="11"/>
  <c r="CV8" i="11"/>
  <c r="DF49" i="11"/>
  <c r="CT46" i="11"/>
  <c r="DD44" i="11"/>
  <c r="CW42" i="11"/>
  <c r="CU41" i="11"/>
  <c r="CU37" i="11"/>
  <c r="DG35" i="11"/>
  <c r="CW33" i="11"/>
  <c r="DD31" i="11"/>
  <c r="CW30" i="11"/>
  <c r="DA51" i="11"/>
  <c r="DH49" i="11"/>
  <c r="DD48" i="11"/>
  <c r="CZ47" i="11"/>
  <c r="CU46" i="11"/>
  <c r="DF44" i="11"/>
  <c r="DC43" i="11"/>
  <c r="CY42" i="11"/>
  <c r="CV41" i="11"/>
  <c r="CS40" i="11"/>
  <c r="DH39" i="11"/>
  <c r="DB38" i="11"/>
  <c r="CW37" i="11"/>
  <c r="CT36" i="11"/>
  <c r="DC34" i="11"/>
  <c r="CY33" i="11"/>
  <c r="CZ32" i="11"/>
  <c r="DE31" i="11"/>
  <c r="CX30" i="11"/>
  <c r="DG29" i="11"/>
  <c r="CS29" i="11"/>
  <c r="DB28" i="11"/>
  <c r="CW27" i="11"/>
  <c r="DE26" i="11"/>
  <c r="CY25" i="11"/>
  <c r="DG24" i="11"/>
  <c r="CS24" i="11"/>
  <c r="DA23" i="11"/>
  <c r="CU22" i="11"/>
  <c r="DC21" i="11"/>
  <c r="CW20" i="11"/>
  <c r="DE19" i="11"/>
  <c r="CY18" i="11"/>
  <c r="DG17" i="11"/>
  <c r="CS17" i="11"/>
  <c r="DA16" i="11"/>
  <c r="CU15" i="11"/>
  <c r="DC14" i="11"/>
  <c r="CW13" i="11"/>
  <c r="DE12" i="11"/>
  <c r="CY11" i="11"/>
  <c r="DG10" i="11"/>
  <c r="CS10" i="11"/>
  <c r="DA9" i="11"/>
  <c r="CU8" i="11"/>
  <c r="CX51" i="11"/>
  <c r="DB48" i="11"/>
  <c r="CX47" i="11"/>
  <c r="DA43" i="11"/>
  <c r="DF39" i="11"/>
  <c r="CZ38" i="11"/>
  <c r="CS36" i="11"/>
  <c r="DA34" i="11"/>
  <c r="CY32" i="11"/>
  <c r="DF29" i="11"/>
  <c r="CT51" i="11"/>
  <c r="DD49" i="11"/>
  <c r="CY48" i="11"/>
  <c r="CT47" i="11"/>
  <c r="DH45" i="11"/>
  <c r="DB44" i="11"/>
  <c r="CX43" i="11"/>
  <c r="CS42" i="11"/>
  <c r="DC39" i="11"/>
  <c r="CW38" i="11"/>
  <c r="DE35" i="11"/>
  <c r="CX34" i="11"/>
  <c r="CS33" i="11"/>
  <c r="CV32" i="11"/>
  <c r="DB31" i="11"/>
  <c r="CU30" i="11"/>
  <c r="DD29" i="11"/>
  <c r="CY28" i="11"/>
  <c r="DH27" i="11"/>
  <c r="CT27" i="11"/>
  <c r="DB26" i="11"/>
  <c r="CV25" i="11"/>
  <c r="DD24" i="11"/>
  <c r="CX23" i="11"/>
  <c r="DF22" i="11"/>
  <c r="CZ21" i="11"/>
  <c r="DH20" i="11"/>
  <c r="CT20" i="11"/>
  <c r="DB19" i="11"/>
  <c r="CV18" i="11"/>
  <c r="DD17" i="11"/>
  <c r="CX16" i="11"/>
  <c r="DF15" i="11"/>
  <c r="CZ14" i="11"/>
  <c r="DH13" i="11"/>
  <c r="CT13" i="11"/>
  <c r="DB12" i="11"/>
  <c r="CV11" i="11"/>
  <c r="DD10" i="11"/>
  <c r="CX9" i="11"/>
  <c r="DF8" i="11"/>
  <c r="CY19" i="11"/>
  <c r="CW14" i="11"/>
  <c r="CS11" i="11"/>
  <c r="CU9" i="11"/>
  <c r="DD46" i="11"/>
  <c r="CT44" i="11"/>
  <c r="DF52" i="11"/>
  <c r="DC49" i="11"/>
  <c r="CX48" i="11"/>
  <c r="CS47" i="11"/>
  <c r="DG45" i="11"/>
  <c r="DA44" i="11"/>
  <c r="CW43" i="11"/>
  <c r="DH40" i="11"/>
  <c r="DB39" i="11"/>
  <c r="CV38" i="11"/>
  <c r="DD35" i="11"/>
  <c r="CW34" i="11"/>
  <c r="CU32" i="11"/>
  <c r="DA31" i="11"/>
  <c r="DH30" i="11"/>
  <c r="CT30" i="11"/>
  <c r="DC29" i="11"/>
  <c r="CX28" i="11"/>
  <c r="DG27" i="11"/>
  <c r="CS27" i="11"/>
  <c r="DA26" i="11"/>
  <c r="CU25" i="11"/>
  <c r="DC24" i="11"/>
  <c r="CW23" i="11"/>
  <c r="DE22" i="11"/>
  <c r="CY21" i="11"/>
  <c r="DG20" i="11"/>
  <c r="CS20" i="11"/>
  <c r="DA19" i="11"/>
  <c r="CU18" i="11"/>
  <c r="DC17" i="11"/>
  <c r="CW16" i="11"/>
  <c r="DE15" i="11"/>
  <c r="CY14" i="11"/>
  <c r="DG13" i="11"/>
  <c r="CS13" i="11"/>
  <c r="DA12" i="11"/>
  <c r="CU11" i="11"/>
  <c r="DC10" i="11"/>
  <c r="CW9" i="11"/>
  <c r="DE8" i="11"/>
  <c r="CS18" i="11"/>
  <c r="DE13" i="11"/>
  <c r="DG11" i="11"/>
  <c r="DE52" i="11"/>
  <c r="DF50" i="11"/>
  <c r="CZ49" i="11"/>
  <c r="CW48" i="11"/>
  <c r="DD45" i="11"/>
  <c r="CX44" i="11"/>
  <c r="CV43" i="11"/>
  <c r="DG40" i="11"/>
  <c r="DA39" i="11"/>
  <c r="CU38" i="11"/>
  <c r="DH36" i="11"/>
  <c r="DA35" i="11"/>
  <c r="CV34" i="11"/>
  <c r="CT32" i="11"/>
  <c r="CY31" i="11"/>
  <c r="DG30" i="11"/>
  <c r="CS30" i="11"/>
  <c r="DB29" i="11"/>
  <c r="CW28" i="11"/>
  <c r="DF27" i="11"/>
  <c r="CZ26" i="11"/>
  <c r="DH25" i="11"/>
  <c r="CT25" i="11"/>
  <c r="DB24" i="11"/>
  <c r="CV23" i="11"/>
  <c r="DD22" i="11"/>
  <c r="CX21" i="11"/>
  <c r="DF20" i="11"/>
  <c r="CZ19" i="11"/>
  <c r="DH18" i="11"/>
  <c r="CT18" i="11"/>
  <c r="DB17" i="11"/>
  <c r="CV16" i="11"/>
  <c r="DD15" i="11"/>
  <c r="CX14" i="11"/>
  <c r="DF13" i="11"/>
  <c r="CZ12" i="11"/>
  <c r="DH11" i="11"/>
  <c r="CT11" i="11"/>
  <c r="DB10" i="11"/>
  <c r="CV9" i="11"/>
  <c r="DD8" i="11"/>
  <c r="DE20" i="11"/>
  <c r="DA17" i="11"/>
  <c r="DC15" i="11"/>
  <c r="CY12" i="11"/>
  <c r="DH55" i="11"/>
  <c r="DB52" i="11"/>
  <c r="DE50" i="11"/>
  <c r="CY49" i="11"/>
  <c r="CT48" i="11"/>
  <c r="DH46" i="11"/>
  <c r="DC45" i="11"/>
  <c r="CW44" i="11"/>
  <c r="CS43" i="11"/>
  <c r="DD40" i="11"/>
  <c r="CX39" i="11"/>
  <c r="DG36" i="11"/>
  <c r="CZ35" i="11"/>
  <c r="CS34" i="11"/>
  <c r="CS32" i="11"/>
  <c r="CX31" i="11"/>
  <c r="DF30" i="11"/>
  <c r="DA29" i="11"/>
  <c r="CV28" i="11"/>
  <c r="DE27" i="11"/>
  <c r="CY26" i="11"/>
  <c r="DG25" i="11"/>
  <c r="CS25" i="11"/>
  <c r="DA24" i="11"/>
  <c r="CU23" i="11"/>
  <c r="DC22" i="11"/>
  <c r="CW21" i="11"/>
  <c r="DG18" i="11"/>
  <c r="CU16" i="11"/>
  <c r="DA10" i="11"/>
  <c r="DC8" i="11"/>
  <c r="DG55" i="11"/>
  <c r="CZ52" i="11"/>
  <c r="DD50" i="11"/>
  <c r="CX49" i="11"/>
  <c r="CS48" i="11"/>
  <c r="DF46" i="11"/>
  <c r="DB45" i="11"/>
  <c r="CV44" i="11"/>
  <c r="DH41" i="11"/>
  <c r="DC40" i="11"/>
  <c r="CW39" i="11"/>
  <c r="DG37" i="11"/>
  <c r="DE36" i="11"/>
  <c r="CY35" i="11"/>
  <c r="CW31" i="11"/>
  <c r="DE30" i="11"/>
  <c r="CZ29" i="11"/>
  <c r="CU28" i="11"/>
  <c r="DD27" i="11"/>
  <c r="CX26" i="11"/>
  <c r="DF25" i="11"/>
  <c r="CZ24" i="11"/>
  <c r="DH23" i="11"/>
  <c r="CT23" i="11"/>
  <c r="DB22" i="11"/>
  <c r="CV21" i="11"/>
  <c r="DD20" i="11"/>
  <c r="CX19" i="11"/>
  <c r="DF18" i="11"/>
  <c r="CZ17" i="11"/>
  <c r="DH16" i="11"/>
  <c r="CT16" i="11"/>
  <c r="DB15" i="11"/>
  <c r="CV14" i="11"/>
  <c r="DD13" i="11"/>
  <c r="CX12" i="11"/>
  <c r="DF11" i="11"/>
  <c r="CZ10" i="11"/>
  <c r="DH9" i="11"/>
  <c r="CT9" i="11"/>
  <c r="DB8" i="11"/>
  <c r="DF55" i="11"/>
  <c r="CX52" i="11"/>
  <c r="DB50" i="11"/>
  <c r="CV49" i="11"/>
  <c r="DH47" i="11"/>
  <c r="CZ45" i="11"/>
  <c r="DG8" i="11"/>
  <c r="CS9" i="11"/>
  <c r="CZ15" i="11"/>
  <c r="DC20" i="11"/>
  <c r="DA21" i="11"/>
  <c r="CT22" i="11"/>
  <c r="DD26" i="11"/>
  <c r="CY27" i="11"/>
  <c r="CS28" i="11"/>
  <c r="DC30" i="11"/>
  <c r="DG31" i="11"/>
  <c r="DH32" i="11"/>
  <c r="DA36" i="11"/>
  <c r="DD41" i="11"/>
  <c r="DF42" i="11"/>
  <c r="DB46" i="11"/>
  <c r="CW52" i="11"/>
  <c r="AA57" i="11"/>
  <c r="AO57" i="11"/>
  <c r="BQ57" i="11"/>
  <c r="CE57" i="11"/>
  <c r="CZ9" i="11"/>
  <c r="CN9" i="11"/>
  <c r="DJ9" i="11" s="1"/>
  <c r="DC9" i="11"/>
  <c r="CX10" i="11"/>
  <c r="CN15" i="11"/>
  <c r="DJ15" i="11" s="1"/>
  <c r="DH15" i="11"/>
  <c r="CY16" i="11"/>
  <c r="DH21" i="11"/>
  <c r="DA22" i="11"/>
  <c r="CK25" i="11"/>
  <c r="DA28" i="11"/>
  <c r="CU35" i="11"/>
  <c r="DB40" i="11"/>
  <c r="DJ41" i="11"/>
  <c r="DE55" i="11"/>
  <c r="U57" i="11"/>
  <c r="CP36" i="11"/>
  <c r="CL51" i="11"/>
  <c r="W57" i="11"/>
  <c r="AK57" i="11"/>
  <c r="AY57" i="11"/>
  <c r="BM57" i="11"/>
  <c r="CA57" i="11"/>
  <c r="CK45" i="11"/>
  <c r="CQ46" i="11"/>
  <c r="CO52" i="11"/>
  <c r="AJ57" i="11"/>
  <c r="BL57" i="11"/>
  <c r="X57" i="11"/>
  <c r="AL57" i="11"/>
  <c r="AZ57" i="11"/>
  <c r="BN57" i="11"/>
  <c r="CB57" i="11"/>
  <c r="CN34" i="11"/>
  <c r="DJ34" i="11" s="1"/>
  <c r="CM38" i="11"/>
  <c r="CN43" i="11"/>
  <c r="DJ43" i="11" s="1"/>
  <c r="DJ50" i="11"/>
  <c r="AX57" i="11"/>
  <c r="AM57" i="11"/>
  <c r="CR8" i="11"/>
  <c r="DJ30" i="11"/>
  <c r="AP57" i="11"/>
  <c r="CF57" i="11"/>
  <c r="CO33" i="11"/>
  <c r="CM40" i="11"/>
  <c r="CL52" i="11"/>
  <c r="AQ57" i="11"/>
  <c r="BS57" i="11"/>
  <c r="CO38" i="11"/>
  <c r="CL39" i="11"/>
  <c r="CO42" i="11"/>
  <c r="CM45" i="11"/>
  <c r="CO47" i="11"/>
  <c r="CM50" i="11"/>
  <c r="BG57" i="11"/>
  <c r="CQ44" i="11"/>
  <c r="CM49" i="11"/>
  <c r="R57" i="11"/>
  <c r="AF57" i="11"/>
  <c r="CL34" i="11"/>
  <c r="CL43" i="11"/>
  <c r="CP47" i="11"/>
  <c r="CQ48" i="11"/>
  <c r="CK51" i="11"/>
  <c r="CR52" i="11"/>
  <c r="F4" i="2" l="1"/>
  <c r="F2" i="2" s="1"/>
  <c r="CP42" i="11"/>
  <c r="CP57" i="11" s="1"/>
  <c r="DL33" i="11"/>
  <c r="DK11" i="11"/>
  <c r="DK50" i="11"/>
  <c r="DK45" i="11"/>
  <c r="DK26" i="11"/>
  <c r="DK51" i="11"/>
  <c r="DK36" i="11"/>
  <c r="DB57" i="11"/>
  <c r="CX57" i="11"/>
  <c r="DK42" i="11"/>
  <c r="DK21" i="11"/>
  <c r="DK30" i="11"/>
  <c r="DK32" i="11"/>
  <c r="DK34" i="11"/>
  <c r="DK35" i="11"/>
  <c r="DK49" i="11"/>
  <c r="DM41" i="11"/>
  <c r="DM51" i="11"/>
  <c r="DK12" i="11"/>
  <c r="DK9" i="11"/>
  <c r="DK17" i="11"/>
  <c r="DK29" i="11"/>
  <c r="DK31" i="11"/>
  <c r="DM42" i="11"/>
  <c r="DO29" i="11"/>
  <c r="DM30" i="11"/>
  <c r="DO51" i="11"/>
  <c r="DL44" i="11"/>
  <c r="DO21" i="11"/>
  <c r="DO36" i="11"/>
  <c r="DM39" i="11"/>
  <c r="DN48" i="11"/>
  <c r="DM45" i="11"/>
  <c r="DL13" i="11"/>
  <c r="DM37" i="11"/>
  <c r="DM36" i="11"/>
  <c r="DK16" i="11"/>
  <c r="DK41" i="11"/>
  <c r="DN16" i="11"/>
  <c r="DC57" i="11"/>
  <c r="DK25" i="11"/>
  <c r="DK14" i="11"/>
  <c r="DK48" i="11"/>
  <c r="DK18" i="11"/>
  <c r="DN8" i="11"/>
  <c r="DN47" i="11"/>
  <c r="CZ57" i="11"/>
  <c r="DK10" i="11"/>
  <c r="DN11" i="11"/>
  <c r="DK39" i="11"/>
  <c r="DK38" i="11"/>
  <c r="DO42" i="11"/>
  <c r="CU57" i="11"/>
  <c r="DK40" i="11"/>
  <c r="DK52" i="11"/>
  <c r="DO19" i="11"/>
  <c r="DO31" i="11"/>
  <c r="DA57" i="11"/>
  <c r="DO14" i="11"/>
  <c r="DE57" i="11"/>
  <c r="DM49" i="11"/>
  <c r="DN51" i="11"/>
  <c r="DK24" i="11"/>
  <c r="DK28" i="11"/>
  <c r="DN39" i="11"/>
  <c r="DN29" i="11"/>
  <c r="DL10" i="11"/>
  <c r="DN30" i="11"/>
  <c r="DM16" i="11"/>
  <c r="DM28" i="11"/>
  <c r="DL47" i="11"/>
  <c r="DO26" i="11"/>
  <c r="DL40" i="11"/>
  <c r="DM27" i="11"/>
  <c r="DO34" i="11"/>
  <c r="DO38" i="11"/>
  <c r="DO33" i="11"/>
  <c r="DO43" i="11"/>
  <c r="DO25" i="11"/>
  <c r="DO20" i="11"/>
  <c r="DK15" i="11"/>
  <c r="DK37" i="11"/>
  <c r="CV57" i="11"/>
  <c r="DN19" i="11"/>
  <c r="DN42" i="11"/>
  <c r="DK8" i="11"/>
  <c r="DM35" i="11"/>
  <c r="DK43" i="11"/>
  <c r="DK22" i="11"/>
  <c r="DK44" i="11"/>
  <c r="CT57" i="11"/>
  <c r="DO23" i="11"/>
  <c r="DM44" i="11"/>
  <c r="DH57" i="11"/>
  <c r="DM14" i="11"/>
  <c r="DO8" i="11"/>
  <c r="DL23" i="11"/>
  <c r="DM23" i="11"/>
  <c r="DO28" i="11"/>
  <c r="DN46" i="11"/>
  <c r="DM34" i="11"/>
  <c r="DN34" i="11"/>
  <c r="DM33" i="11"/>
  <c r="DN52" i="11"/>
  <c r="DL17" i="11"/>
  <c r="DO47" i="11"/>
  <c r="DN9" i="11"/>
  <c r="DN15" i="11"/>
  <c r="DO35" i="11"/>
  <c r="DL12" i="11"/>
  <c r="DN33" i="11"/>
  <c r="DK23" i="11"/>
  <c r="DL8" i="11"/>
  <c r="DN44" i="11"/>
  <c r="DM13" i="11"/>
  <c r="DM25" i="11"/>
  <c r="DO11" i="11"/>
  <c r="DN10" i="11"/>
  <c r="DN22" i="11"/>
  <c r="DN35" i="11"/>
  <c r="DO13" i="11"/>
  <c r="DO41" i="11"/>
  <c r="DO17" i="11"/>
  <c r="DK33" i="11"/>
  <c r="DL43" i="11"/>
  <c r="DM31" i="11"/>
  <c r="DL18" i="11"/>
  <c r="DL48" i="11"/>
  <c r="DL27" i="11"/>
  <c r="DK47" i="11"/>
  <c r="DN27" i="11"/>
  <c r="DN26" i="11"/>
  <c r="DM43" i="11"/>
  <c r="DO45" i="11"/>
  <c r="DL22" i="11"/>
  <c r="DL30" i="11"/>
  <c r="DO12" i="11"/>
  <c r="DO24" i="11"/>
  <c r="DN38" i="11"/>
  <c r="DM50" i="11"/>
  <c r="DM17" i="11"/>
  <c r="DM46" i="11"/>
  <c r="DN45" i="11"/>
  <c r="DL51" i="11"/>
  <c r="DO46" i="11"/>
  <c r="DO32" i="11"/>
  <c r="DM32" i="11"/>
  <c r="DO10" i="11"/>
  <c r="DL36" i="11"/>
  <c r="DN18" i="11"/>
  <c r="DG57" i="11"/>
  <c r="DN28" i="11"/>
  <c r="DO30" i="11"/>
  <c r="DL9" i="11"/>
  <c r="DL31" i="11"/>
  <c r="DO49" i="11"/>
  <c r="DN41" i="11"/>
  <c r="DN49" i="11"/>
  <c r="CW57" i="11"/>
  <c r="DO48" i="11"/>
  <c r="DL38" i="11"/>
  <c r="DL50" i="11"/>
  <c r="DK19" i="11"/>
  <c r="DN12" i="11"/>
  <c r="DL11" i="11"/>
  <c r="DL19" i="11"/>
  <c r="DL16" i="11"/>
  <c r="DN14" i="11"/>
  <c r="DN32" i="11"/>
  <c r="DK46" i="11"/>
  <c r="DN21" i="11"/>
  <c r="DN40" i="11"/>
  <c r="DM8" i="11"/>
  <c r="DL21" i="11"/>
  <c r="DL35" i="11"/>
  <c r="DM47" i="11"/>
  <c r="DK27" i="11"/>
  <c r="DL29" i="11"/>
  <c r="DO22" i="11"/>
  <c r="DO9" i="11"/>
  <c r="DL39" i="11"/>
  <c r="DO40" i="11"/>
  <c r="DM52" i="11"/>
  <c r="DM12" i="11"/>
  <c r="DO18" i="11"/>
  <c r="DL34" i="11"/>
  <c r="DO27" i="11"/>
  <c r="DO44" i="11"/>
  <c r="DL46" i="11"/>
  <c r="DK13" i="11"/>
  <c r="DK20" i="11"/>
  <c r="DN36" i="11"/>
  <c r="DN24" i="11"/>
  <c r="DN17" i="11"/>
  <c r="DO50" i="11"/>
  <c r="DM19" i="11"/>
  <c r="DL32" i="11"/>
  <c r="DN25" i="11"/>
  <c r="DL14" i="11"/>
  <c r="DL26" i="11"/>
  <c r="DN43" i="11"/>
  <c r="DL41" i="11"/>
  <c r="DD57" i="11"/>
  <c r="DL42" i="11"/>
  <c r="DM38" i="11"/>
  <c r="DM21" i="11"/>
  <c r="CQ57" i="11"/>
  <c r="DL24" i="11"/>
  <c r="DM9" i="11"/>
  <c r="DO37" i="11"/>
  <c r="DM10" i="11"/>
  <c r="CL57" i="11"/>
  <c r="DN37" i="11"/>
  <c r="DM20" i="11"/>
  <c r="DN13" i="11"/>
  <c r="DN20" i="11"/>
  <c r="DO52" i="11"/>
  <c r="DN23" i="11"/>
  <c r="DL20" i="11"/>
  <c r="DN31" i="11"/>
  <c r="DM11" i="11"/>
  <c r="DM24" i="11"/>
  <c r="DL49" i="11"/>
  <c r="DM15" i="11"/>
  <c r="DL37" i="11"/>
  <c r="DM22" i="11"/>
  <c r="DO39" i="11"/>
  <c r="CM57" i="11"/>
  <c r="CS57" i="11"/>
  <c r="DL28" i="11"/>
  <c r="DM40" i="11"/>
  <c r="CY57" i="11"/>
  <c r="DM48" i="11"/>
  <c r="DO16" i="11"/>
  <c r="DM29" i="11"/>
  <c r="DN50" i="11"/>
  <c r="DM18" i="11"/>
  <c r="DF57" i="11"/>
  <c r="DL25" i="11"/>
  <c r="DL52" i="11"/>
  <c r="DL45" i="11"/>
  <c r="CK57" i="11"/>
  <c r="DM26" i="11"/>
  <c r="A39" i="1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37" i="11"/>
  <c r="A38" i="11" s="1"/>
  <c r="CR57" i="11"/>
  <c r="CN57" i="11"/>
  <c r="DJ57" i="11" s="1"/>
  <c r="CO57" i="11"/>
  <c r="DO15" i="11"/>
  <c r="DL15" i="11"/>
  <c r="DM57" i="11" l="1"/>
  <c r="DN57" i="11"/>
  <c r="DL57" i="11"/>
  <c r="DO57" i="11"/>
  <c r="DK57" i="11"/>
  <c r="D46" i="1" l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C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tc={5D79F016-AC4B-465E-9B41-B67FCE68EC73}</author>
  </authors>
  <commentList>
    <comment ref="E3" authorId="0" shapeId="0" xr:uid="{5D79F016-AC4B-465E-9B41-B67FCE68EC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Just initial setup and wihtout Development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tc={1B543B4D-806C-4491-B2CE-CCB61CFD3F77}</author>
  </authors>
  <commentList>
    <comment ref="E3" authorId="0" shapeId="0" xr:uid="{1B543B4D-806C-4491-B2CE-CCB61CFD3F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Just initial setup and wihtout Development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tc={4CF0DE7D-A15B-4E3D-9108-353DA5E5D574}</author>
    <author>tc={48C959EF-A208-4C5A-8871-09509F3962A0}</author>
  </authors>
  <commentList>
    <comment ref="N7" authorId="0" shapeId="0" xr:uid="{09F90926-EC61-4CDF-9C21-0CF7238569E6}">
      <text>
        <r>
          <rPr>
            <sz val="10"/>
            <color rgb="FF000000"/>
            <rFont val="Arial"/>
            <family val="2"/>
          </rPr>
          <t xml:space="preserve">assume 36 months for simplicity's sake.  Actual depreciation for tax purposes may vary. </t>
        </r>
      </text>
    </comment>
    <comment ref="K41" authorId="1" shapeId="0" xr:uid="{4CF0DE7D-A15B-4E3D-9108-353DA5E5D574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Equipment Bryan</t>
      </text>
    </comment>
    <comment ref="K43" authorId="2" shapeId="0" xr:uid="{48C959EF-A208-4C5A-8871-09509F3962A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Integration Günther + Gin Tonic</t>
      </text>
    </comment>
  </commentList>
</comments>
</file>

<file path=xl/sharedStrings.xml><?xml version="1.0" encoding="utf-8"?>
<sst xmlns="http://schemas.openxmlformats.org/spreadsheetml/2006/main" count="844" uniqueCount="220">
  <si>
    <t>CAPEX Summary</t>
  </si>
  <si>
    <t xml:space="preserve">3k Factory - Munich </t>
  </si>
  <si>
    <t>Overview expected Cash Out*</t>
  </si>
  <si>
    <t>Assembly Equipment</t>
  </si>
  <si>
    <t>Testing</t>
  </si>
  <si>
    <t>Logistics</t>
  </si>
  <si>
    <t>Facility</t>
  </si>
  <si>
    <t>Development Testrig</t>
  </si>
  <si>
    <t>Others</t>
  </si>
  <si>
    <t>*Incoming Invoice - payment terms might have up to 30days as payment target</t>
  </si>
  <si>
    <t>Budget</t>
  </si>
  <si>
    <t>Spent</t>
  </si>
  <si>
    <t>Approved</t>
  </si>
  <si>
    <t xml:space="preserve">Cost of Completion </t>
  </si>
  <si>
    <t>MRO</t>
  </si>
  <si>
    <t>Machining Center</t>
  </si>
  <si>
    <t>Prototyping</t>
  </si>
  <si>
    <t>Battery Production</t>
  </si>
  <si>
    <t>Total</t>
  </si>
  <si>
    <t xml:space="preserve">Detailed Costbook - Assembly Equipment </t>
  </si>
  <si>
    <t>Delta</t>
  </si>
  <si>
    <t>Supplier: xzy</t>
  </si>
  <si>
    <t>Budget (2026 only)</t>
  </si>
  <si>
    <t>Cost of complection</t>
  </si>
  <si>
    <t>Work Area / Station</t>
  </si>
  <si>
    <t>Project Phase</t>
  </si>
  <si>
    <t>Product</t>
  </si>
  <si>
    <t>Description Cost Item</t>
  </si>
  <si>
    <t>Amount [€]</t>
  </si>
  <si>
    <t>Expected Cash Out</t>
  </si>
  <si>
    <t>Cost Basis</t>
  </si>
  <si>
    <t>Cost Driver</t>
  </si>
  <si>
    <t>Basis Description</t>
  </si>
  <si>
    <t>Assumptions</t>
  </si>
  <si>
    <t>Approval Status</t>
  </si>
  <si>
    <t>Approval Date</t>
  </si>
  <si>
    <t>Zielanpassung</t>
  </si>
  <si>
    <t>Comments / Notes / Links</t>
  </si>
  <si>
    <t>Pre-Assembly I (Standplatz)</t>
  </si>
  <si>
    <t xml:space="preserve">Phase 1 </t>
  </si>
  <si>
    <t xml:space="preserve">Bryan </t>
  </si>
  <si>
    <t>Standard workbench with flexible Trolley</t>
  </si>
  <si>
    <t>Initial Supplier Offer</t>
  </si>
  <si>
    <t>Initial setup</t>
  </si>
  <si>
    <t>19238/93</t>
  </si>
  <si>
    <t>Submitted for Approval</t>
  </si>
  <si>
    <t>Kanban Trolley</t>
  </si>
  <si>
    <t>Jigs &amp; Fixtures (3d Print) - early Phase</t>
  </si>
  <si>
    <t>see engineering workpackage</t>
  </si>
  <si>
    <t>Decoupling Trolley large</t>
  </si>
  <si>
    <t xml:space="preserve">Jigs &amp; Fixtures - final version </t>
  </si>
  <si>
    <t>Cost Estimation</t>
  </si>
  <si>
    <t>Process</t>
  </si>
  <si>
    <t>Phase 2</t>
  </si>
  <si>
    <t>Günther</t>
  </si>
  <si>
    <t>Expansion Werkbenches</t>
  </si>
  <si>
    <t>Pending Technical Clarification</t>
  </si>
  <si>
    <t>Expansion Jigs &amp; Fixtures (3d Print) - early Phase</t>
  </si>
  <si>
    <t xml:space="preserve"> Expansion Trolleys</t>
  </si>
  <si>
    <t>Phase 3</t>
  </si>
  <si>
    <t>Gin-Tonic</t>
  </si>
  <si>
    <t>Produktintegration</t>
  </si>
  <si>
    <t>Pre-Assembly II (takt)</t>
  </si>
  <si>
    <t>Standard workbench with integrated Kanban</t>
  </si>
  <si>
    <t xml:space="preserve">Decoupling Trolley Small </t>
  </si>
  <si>
    <t>Workbenches Bryan - Initial Setup</t>
  </si>
  <si>
    <t>Trolleys</t>
  </si>
  <si>
    <t>Final Assembly</t>
  </si>
  <si>
    <t>Transport Trolley</t>
  </si>
  <si>
    <t>Rework Area / Special workbench</t>
  </si>
  <si>
    <t>Tools / Jigs / Fixtures</t>
  </si>
  <si>
    <t>Bryan - Pre Assembly I  - initial setup</t>
  </si>
  <si>
    <t>Bryan - Pre Assembly II - initial setup</t>
  </si>
  <si>
    <t>Bryan - Final Assembly - initial setup</t>
  </si>
  <si>
    <t xml:space="preserve">Decoupling / Conveyor </t>
  </si>
  <si>
    <t>WPC  Final assembly line</t>
  </si>
  <si>
    <t>Conveyor  Final assembly line</t>
  </si>
  <si>
    <t>WPC  Pre-Assembly II</t>
  </si>
  <si>
    <t>Conveyor  Pre-Assembly II</t>
  </si>
  <si>
    <t>Foam Inlet Decoupling Racks</t>
  </si>
  <si>
    <t>Additional / Diverses</t>
  </si>
  <si>
    <t>Konstruktion und Projektierung</t>
  </si>
  <si>
    <t>Assembly and Transport Assembly Equipment</t>
  </si>
  <si>
    <t>Engineering hours jigs and fixtures and detailed design phase</t>
  </si>
  <si>
    <t>Scanner - ZEBRA (25x)</t>
  </si>
  <si>
    <t>Tabletts / PC</t>
  </si>
  <si>
    <t>Pre-Development</t>
  </si>
  <si>
    <t>Pre-Development with company Aumann</t>
  </si>
  <si>
    <t>Station 1</t>
  </si>
  <si>
    <t>Station 2</t>
  </si>
  <si>
    <t>Station 3</t>
  </si>
  <si>
    <t xml:space="preserve">Peripherie </t>
  </si>
  <si>
    <t>Incoming Inspection</t>
  </si>
  <si>
    <t>KLT / GLT</t>
  </si>
  <si>
    <t>FTS / Transport</t>
  </si>
  <si>
    <t xml:space="preserve">Racking Solution </t>
  </si>
  <si>
    <t>Lift System</t>
  </si>
  <si>
    <t>Bauliche Veränderung</t>
  </si>
  <si>
    <t>Media connection</t>
  </si>
  <si>
    <t xml:space="preserve">Floor </t>
  </si>
  <si>
    <t>ESD Floor</t>
  </si>
  <si>
    <t>Landshuter Industrieboden</t>
  </si>
  <si>
    <t>916,7 sqm (production + MRO)</t>
  </si>
  <si>
    <t>Approved by Steering Committee</t>
  </si>
  <si>
    <t xml:space="preserve">Approved by Nemo via Email </t>
  </si>
  <si>
    <t>Fence / Safety</t>
  </si>
  <si>
    <t>Status</t>
  </si>
  <si>
    <t>Open</t>
  </si>
  <si>
    <t>Initial Production Start Bryan</t>
  </si>
  <si>
    <t>Ramp-Up / Integration Günther</t>
  </si>
  <si>
    <t>Revised Supplier Offer</t>
  </si>
  <si>
    <t>Output Increase / Optimization</t>
  </si>
  <si>
    <t>Change Cost</t>
  </si>
  <si>
    <t>Rejected</t>
  </si>
  <si>
    <t>Phase 4</t>
  </si>
  <si>
    <t>Automation / max. Capa</t>
  </si>
  <si>
    <t>Overall</t>
  </si>
  <si>
    <t>On Hold</t>
  </si>
  <si>
    <t>Pending Supplier Negotiation</t>
  </si>
  <si>
    <t>Obsolete</t>
  </si>
  <si>
    <t>Basis Description (Helpfull Phrases)</t>
  </si>
  <si>
    <t>Based on supplier offer Date / Numer</t>
  </si>
  <si>
    <t>Derived from Change Request [CR_xx001]</t>
  </si>
  <si>
    <t>Based on reference project</t>
  </si>
  <si>
    <t>Supplier quotation not yet available</t>
  </si>
  <si>
    <t>Estimated using … (e.g. cycle time, volume…)</t>
  </si>
  <si>
    <t>New requirements assembly</t>
  </si>
  <si>
    <t>New requirements testing</t>
  </si>
  <si>
    <t>TYTAN Technologies</t>
  </si>
  <si>
    <t>CAPITAL EXPENSES</t>
  </si>
  <si>
    <t>Q4 2025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</si>
  <si>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</si>
  <si>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</si>
  <si>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</si>
  <si>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</si>
  <si>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</si>
  <si>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</si>
  <si>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</si>
  <si>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</si>
  <si>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</si>
  <si>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</si>
  <si>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</si>
  <si>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</si>
  <si>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</si>
  <si>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</si>
  <si>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</si>
  <si>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</si>
  <si>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</si>
  <si>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</si>
  <si>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</si>
  <si>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</si>
  <si>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Identifier</t>
  </si>
  <si>
    <t>Account</t>
  </si>
  <si>
    <t>Account name</t>
  </si>
  <si>
    <t>Category</t>
  </si>
  <si>
    <t>CC</t>
  </si>
  <si>
    <t>CC name</t>
  </si>
  <si>
    <t>Ccar</t>
  </si>
  <si>
    <t>Ccar name</t>
  </si>
  <si>
    <t>category</t>
  </si>
  <si>
    <t>Description</t>
  </si>
  <si>
    <t>Date</t>
  </si>
  <si>
    <t>Unit Cost</t>
  </si>
  <si>
    <t>Useful Life (months)</t>
  </si>
  <si>
    <t>Until</t>
  </si>
  <si>
    <t>CAPEX</t>
  </si>
  <si>
    <t>technical equipment and machinery</t>
  </si>
  <si>
    <t>4800 - Manfuacturing Equipment and Tools</t>
  </si>
  <si>
    <t>I0001 - Office Move Moander</t>
  </si>
  <si>
    <t>Ausstattung Prototyping</t>
  </si>
  <si>
    <t>Ausstattung Prototyping Tools</t>
  </si>
  <si>
    <t/>
  </si>
  <si>
    <t>M9000 - Production Equipment &amp; Machines</t>
  </si>
  <si>
    <t>Electrical Workshop</t>
  </si>
  <si>
    <t>Launcher Production</t>
  </si>
  <si>
    <t>Car / Van - Workshop</t>
  </si>
  <si>
    <t>Ground Control Test Station</t>
  </si>
  <si>
    <t>Metal Workshop</t>
  </si>
  <si>
    <t>Equipment for Line 3 - 2027</t>
  </si>
  <si>
    <t>4400 - Logistics</t>
  </si>
  <si>
    <t>Battery Production / Others</t>
  </si>
  <si>
    <t>Battery Storrage</t>
  </si>
  <si>
    <t>Battery Pack Production - Equipment</t>
  </si>
  <si>
    <t>Battery Pack Production - Room</t>
  </si>
  <si>
    <t>4000 - Operations</t>
  </si>
  <si>
    <t>M2000 - Operations car pool</t>
  </si>
  <si>
    <t>Service Car</t>
  </si>
  <si>
    <t>Transport / Van</t>
  </si>
  <si>
    <t>4700 - Prototyping</t>
  </si>
  <si>
    <t>Equipment for new manufacturing Processes H1</t>
  </si>
  <si>
    <t>I0006 - ISO 27001 Security Program</t>
  </si>
  <si>
    <t>Safety and Security Installation</t>
  </si>
  <si>
    <t>I0002 - Office Expansion</t>
  </si>
  <si>
    <t>Office &amp; Visitor Space</t>
  </si>
  <si>
    <t>Equipment Q2</t>
  </si>
  <si>
    <t>Equipment Q3</t>
  </si>
  <si>
    <t>Equipment Q4</t>
  </si>
  <si>
    <t>M9002 - Production Equipment &amp; Machines Line 1</t>
  </si>
  <si>
    <t>End of Line Test Station Line 1 Start</t>
  </si>
  <si>
    <t>End of Line Test Station Line 1 FAT</t>
  </si>
  <si>
    <t>End of Line Test Station Line 1 SAT</t>
  </si>
  <si>
    <t>Office 3</t>
  </si>
  <si>
    <t>Automation Equipment 2027</t>
  </si>
  <si>
    <t>M9003 - Production Equipment &amp; Machines Line 2</t>
  </si>
  <si>
    <t>End of Line Test Station Line 2 Start</t>
  </si>
  <si>
    <t>End of Line Test Station Line 2 FAT</t>
  </si>
  <si>
    <t>End of Line Test Station Line 2 SAT</t>
  </si>
  <si>
    <t>Equipment for new manufacturing Processes H2</t>
  </si>
  <si>
    <t>Kitchens (5 in total)</t>
  </si>
  <si>
    <t>Automation Equipment Line 2</t>
  </si>
  <si>
    <t>Equipment MRO Line</t>
  </si>
  <si>
    <t>Manfacturing Equipment and Tools Phase 1</t>
  </si>
  <si>
    <t>Manfacturing Equipment and Tools Phase 2</t>
  </si>
  <si>
    <t>MRO Equipment and Tools</t>
  </si>
  <si>
    <t>Development Test Equipment</t>
  </si>
  <si>
    <t>M3000 - Facility Management  3k factory</t>
  </si>
  <si>
    <t>Initial Construction Cost Q1</t>
  </si>
  <si>
    <t>Initial Construction Cost Q2</t>
  </si>
  <si>
    <t>Initial Construction Cost Q3</t>
  </si>
  <si>
    <t>Total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</si>
</sst>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mmm\ yyyy"/>
    <numFmt numFmtId="166" formatCode="mmmm\ yyyy"/>
    <numFmt numFmtId="167" formatCode="\$#,##0"/>
    <numFmt numFmtId="168" formatCode="#,##0;\(#,##0\)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Aptos Narrow"/>
      <family val="2"/>
    </font>
    <font>
      <sz val="10"/>
      <color rgb="FF1155CC"/>
      <name val="Arial"/>
      <family val="2"/>
    </font>
    <font>
      <sz val="10"/>
      <color rgb="FF0000FF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0"/>
      <color theme="0" tint="-0.34998626667073579"/>
      <name val="Arial"/>
      <family val="2"/>
    </font>
    <font>
      <sz val="11"/>
      <color theme="0" tint="-0.34998626667073579"/>
      <name val="Aptos Narrow"/>
      <family val="2"/>
    </font>
    <font>
      <b/>
      <sz val="10"/>
      <color theme="0" tint="-0.34998626667073579"/>
      <name val="Arial"/>
      <family val="2"/>
    </font>
    <font>
      <sz val="10"/>
      <color rgb="FFC00000"/>
      <name val="Arial"/>
      <family val="2"/>
    </font>
    <font>
      <b/>
      <sz val="1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theme="1"/>
        <bgColor theme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6" fillId="0" borderId="0"/>
    <xf numFmtId="44" fontId="17" fillId="0" borderId="0" applyFont="0" applyFill="0" applyBorder="0" applyAlignment="0" applyProtection="0"/>
  </cellStyleXfs>
  <cellXfs count="131">
    <xf numFmtId="0" fontId="0" fillId="0" borderId="0" xfId="0"/>
    <xf numFmtId="0" fontId="8" fillId="7" borderId="0" xfId="2" applyFont="1" applyFill="1" applyAlignment="1">
      <alignment vertical="center"/>
    </xf>
    <xf numFmtId="0" fontId="8" fillId="7" borderId="0" xfId="2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0" fontId="5" fillId="2" borderId="0" xfId="0" applyFont="1" applyFill="1"/>
    <xf numFmtId="0" fontId="6" fillId="0" borderId="0" xfId="2"/>
    <xf numFmtId="164" fontId="6" fillId="0" borderId="0" xfId="2" applyNumberFormat="1"/>
    <xf numFmtId="0" fontId="6" fillId="4" borderId="0" xfId="2" applyFill="1"/>
    <xf numFmtId="0" fontId="6" fillId="5" borderId="0" xfId="2" applyFill="1" applyAlignment="1">
      <alignment wrapText="1"/>
    </xf>
    <xf numFmtId="0" fontId="7" fillId="0" borderId="0" xfId="1" applyAlignment="1"/>
    <xf numFmtId="0" fontId="6" fillId="6" borderId="0" xfId="2" applyFill="1"/>
    <xf numFmtId="0" fontId="9" fillId="8" borderId="0" xfId="2" applyFont="1" applyFill="1" applyAlignment="1">
      <alignment horizontal="right" vertical="center"/>
    </xf>
    <xf numFmtId="165" fontId="9" fillId="8" borderId="0" xfId="2" applyNumberFormat="1" applyFont="1" applyFill="1" applyAlignment="1">
      <alignment horizontal="right" vertical="center"/>
    </xf>
    <xf numFmtId="166" fontId="9" fillId="8" borderId="0" xfId="2" applyNumberFormat="1" applyFont="1" applyFill="1" applyAlignment="1">
      <alignment horizontal="right" vertical="center"/>
    </xf>
    <xf numFmtId="165" fontId="9" fillId="8" borderId="4" xfId="2" applyNumberFormat="1" applyFont="1" applyFill="1" applyBorder="1" applyAlignment="1">
      <alignment horizontal="right" vertical="center"/>
    </xf>
    <xf numFmtId="0" fontId="9" fillId="9" borderId="0" xfId="2" applyFont="1" applyFill="1" applyAlignment="1">
      <alignment horizontal="right" vertical="center"/>
    </xf>
    <xf numFmtId="0" fontId="9" fillId="8" borderId="0" xfId="2" applyFont="1" applyFill="1" applyAlignment="1">
      <alignment horizontal="center" vertical="center"/>
    </xf>
    <xf numFmtId="0" fontId="10" fillId="10" borderId="5" xfId="2" applyFont="1" applyFill="1" applyBorder="1" applyAlignment="1">
      <alignment wrapText="1"/>
    </xf>
    <xf numFmtId="0" fontId="10" fillId="10" borderId="6" xfId="2" applyFont="1" applyFill="1" applyBorder="1" applyAlignment="1">
      <alignment wrapText="1"/>
    </xf>
    <xf numFmtId="0" fontId="10" fillId="10" borderId="0" xfId="2" applyFont="1" applyFill="1" applyAlignment="1">
      <alignment wrapText="1"/>
    </xf>
    <xf numFmtId="0" fontId="11" fillId="0" borderId="4" xfId="2" applyFont="1" applyBorder="1"/>
    <xf numFmtId="0" fontId="11" fillId="0" borderId="7" xfId="2" applyFont="1" applyBorder="1"/>
    <xf numFmtId="167" fontId="12" fillId="9" borderId="4" xfId="2" applyNumberFormat="1" applyFont="1" applyFill="1" applyBorder="1"/>
    <xf numFmtId="167" fontId="12" fillId="0" borderId="4" xfId="2" applyNumberFormat="1" applyFont="1" applyBorder="1"/>
    <xf numFmtId="167" fontId="12" fillId="0" borderId="8" xfId="2" applyNumberFormat="1" applyFont="1" applyBorder="1"/>
    <xf numFmtId="167" fontId="12" fillId="0" borderId="0" xfId="2" applyNumberFormat="1" applyFont="1"/>
    <xf numFmtId="0" fontId="6" fillId="5" borderId="0" xfId="2" applyFill="1"/>
    <xf numFmtId="0" fontId="13" fillId="3" borderId="0" xfId="2" applyFont="1" applyFill="1"/>
    <xf numFmtId="0" fontId="11" fillId="5" borderId="9" xfId="2" applyFont="1" applyFill="1" applyBorder="1"/>
    <xf numFmtId="14" fontId="11" fillId="5" borderId="9" xfId="2" applyNumberFormat="1" applyFont="1" applyFill="1" applyBorder="1"/>
    <xf numFmtId="164" fontId="11" fillId="5" borderId="9" xfId="2" applyNumberFormat="1" applyFont="1" applyFill="1" applyBorder="1"/>
    <xf numFmtId="0" fontId="11" fillId="5" borderId="9" xfId="2" applyFont="1" applyFill="1" applyBorder="1" applyAlignment="1">
      <alignment horizontal="right"/>
    </xf>
    <xf numFmtId="14" fontId="14" fillId="4" borderId="0" xfId="2" applyNumberFormat="1" applyFont="1" applyFill="1"/>
    <xf numFmtId="3" fontId="15" fillId="2" borderId="0" xfId="2" applyNumberFormat="1" applyFont="1" applyFill="1"/>
    <xf numFmtId="3" fontId="15" fillId="2" borderId="4" xfId="2" applyNumberFormat="1" applyFont="1" applyFill="1" applyBorder="1"/>
    <xf numFmtId="3" fontId="15" fillId="2" borderId="7" xfId="2" applyNumberFormat="1" applyFont="1" applyFill="1" applyBorder="1"/>
    <xf numFmtId="3" fontId="6" fillId="0" borderId="4" xfId="2" applyNumberFormat="1" applyBorder="1"/>
    <xf numFmtId="1" fontId="12" fillId="9" borderId="4" xfId="2" applyNumberFormat="1" applyFont="1" applyFill="1" applyBorder="1"/>
    <xf numFmtId="3" fontId="11" fillId="0" borderId="8" xfId="2" applyNumberFormat="1" applyFont="1" applyBorder="1" applyAlignment="1">
      <alignment wrapText="1"/>
    </xf>
    <xf numFmtId="3" fontId="11" fillId="0" borderId="8" xfId="2" applyNumberFormat="1" applyFont="1" applyBorder="1"/>
    <xf numFmtId="3" fontId="11" fillId="0" borderId="0" xfId="2" applyNumberFormat="1" applyFont="1"/>
    <xf numFmtId="164" fontId="14" fillId="0" borderId="0" xfId="2" applyNumberFormat="1" applyFont="1"/>
    <xf numFmtId="0" fontId="11" fillId="0" borderId="0" xfId="2" applyFont="1" applyAlignment="1">
      <alignment horizontal="right"/>
    </xf>
    <xf numFmtId="3" fontId="11" fillId="0" borderId="4" xfId="2" applyNumberFormat="1" applyFont="1" applyBorder="1"/>
    <xf numFmtId="3" fontId="11" fillId="0" borderId="7" xfId="2" applyNumberFormat="1" applyFont="1" applyBorder="1"/>
    <xf numFmtId="3" fontId="14" fillId="0" borderId="4" xfId="2" applyNumberFormat="1" applyFont="1" applyBorder="1"/>
    <xf numFmtId="3" fontId="14" fillId="0" borderId="8" xfId="2" applyNumberFormat="1" applyFont="1" applyBorder="1"/>
    <xf numFmtId="3" fontId="14" fillId="0" borderId="0" xfId="2" applyNumberFormat="1" applyFont="1"/>
    <xf numFmtId="0" fontId="0" fillId="0" borderId="10" xfId="2" applyFont="1" applyBorder="1"/>
    <xf numFmtId="164" fontId="14" fillId="0" borderId="10" xfId="2" applyNumberFormat="1" applyFont="1" applyBorder="1"/>
    <xf numFmtId="0" fontId="11" fillId="0" borderId="10" xfId="2" applyFont="1" applyBorder="1" applyAlignment="1">
      <alignment horizontal="right"/>
    </xf>
    <xf numFmtId="3" fontId="11" fillId="0" borderId="10" xfId="2" applyNumberFormat="1" applyFont="1" applyBorder="1"/>
    <xf numFmtId="3" fontId="11" fillId="0" borderId="11" xfId="2" applyNumberFormat="1" applyFont="1" applyBorder="1"/>
    <xf numFmtId="3" fontId="11" fillId="0" borderId="12" xfId="2" applyNumberFormat="1" applyFont="1" applyBorder="1"/>
    <xf numFmtId="167" fontId="12" fillId="9" borderId="11" xfId="2" applyNumberFormat="1" applyFont="1" applyFill="1" applyBorder="1"/>
    <xf numFmtId="3" fontId="14" fillId="0" borderId="11" xfId="2" applyNumberFormat="1" applyFont="1" applyBorder="1"/>
    <xf numFmtId="3" fontId="14" fillId="0" borderId="13" xfId="2" applyNumberFormat="1" applyFont="1" applyBorder="1"/>
    <xf numFmtId="3" fontId="14" fillId="0" borderId="10" xfId="2" applyNumberFormat="1" applyFont="1" applyBorder="1"/>
    <xf numFmtId="168" fontId="11" fillId="0" borderId="0" xfId="2" applyNumberFormat="1" applyFont="1"/>
    <xf numFmtId="168" fontId="11" fillId="0" borderId="4" xfId="2" applyNumberFormat="1" applyFont="1" applyBorder="1"/>
    <xf numFmtId="168" fontId="11" fillId="0" borderId="7" xfId="2" applyNumberFormat="1" applyFont="1" applyBorder="1"/>
    <xf numFmtId="0" fontId="12" fillId="0" borderId="0" xfId="2" applyFont="1"/>
    <xf numFmtId="3" fontId="12" fillId="0" borderId="14" xfId="2" applyNumberFormat="1" applyFont="1" applyBorder="1"/>
    <xf numFmtId="3" fontId="12" fillId="0" borderId="15" xfId="2" applyNumberFormat="1" applyFont="1" applyBorder="1"/>
    <xf numFmtId="3" fontId="12" fillId="0" borderId="16" xfId="2" applyNumberFormat="1" applyFont="1" applyBorder="1"/>
    <xf numFmtId="3" fontId="12" fillId="0" borderId="17" xfId="2" applyNumberFormat="1" applyFont="1" applyBorder="1"/>
    <xf numFmtId="0" fontId="16" fillId="0" borderId="0" xfId="0" applyFo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4" fontId="0" fillId="0" borderId="0" xfId="3" applyFont="1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center" vertical="center"/>
    </xf>
    <xf numFmtId="0" fontId="1" fillId="12" borderId="0" xfId="0" applyFont="1" applyFill="1" applyAlignment="1">
      <alignment horizontal="right"/>
    </xf>
    <xf numFmtId="0" fontId="1" fillId="13" borderId="0" xfId="0" applyFont="1" applyFill="1" applyAlignment="1">
      <alignment horizontal="right"/>
    </xf>
    <xf numFmtId="44" fontId="0" fillId="2" borderId="0" xfId="3" applyFont="1" applyFill="1" applyAlignment="1">
      <alignment horizontal="center"/>
    </xf>
    <xf numFmtId="44" fontId="18" fillId="2" borderId="0" xfId="0" applyNumberFormat="1" applyFont="1" applyFill="1" applyAlignment="1">
      <alignment horizontal="center"/>
    </xf>
    <xf numFmtId="0" fontId="19" fillId="0" borderId="0" xfId="2" applyFont="1"/>
    <xf numFmtId="0" fontId="19" fillId="5" borderId="0" xfId="2" applyFont="1" applyFill="1"/>
    <xf numFmtId="0" fontId="20" fillId="3" borderId="0" xfId="2" applyFont="1" applyFill="1"/>
    <xf numFmtId="0" fontId="19" fillId="5" borderId="9" xfId="2" applyFont="1" applyFill="1" applyBorder="1"/>
    <xf numFmtId="14" fontId="19" fillId="5" borderId="9" xfId="2" applyNumberFormat="1" applyFont="1" applyFill="1" applyBorder="1"/>
    <xf numFmtId="164" fontId="19" fillId="5" borderId="9" xfId="2" applyNumberFormat="1" applyFont="1" applyFill="1" applyBorder="1"/>
    <xf numFmtId="0" fontId="19" fillId="5" borderId="9" xfId="2" applyFont="1" applyFill="1" applyBorder="1" applyAlignment="1">
      <alignment horizontal="right"/>
    </xf>
    <xf numFmtId="14" fontId="19" fillId="4" borderId="0" xfId="2" applyNumberFormat="1" applyFont="1" applyFill="1"/>
    <xf numFmtId="3" fontId="19" fillId="2" borderId="0" xfId="2" applyNumberFormat="1" applyFont="1" applyFill="1"/>
    <xf numFmtId="3" fontId="19" fillId="2" borderId="4" xfId="2" applyNumberFormat="1" applyFont="1" applyFill="1" applyBorder="1"/>
    <xf numFmtId="3" fontId="19" fillId="2" borderId="7" xfId="2" applyNumberFormat="1" applyFont="1" applyFill="1" applyBorder="1"/>
    <xf numFmtId="167" fontId="21" fillId="9" borderId="4" xfId="2" applyNumberFormat="1" applyFont="1" applyFill="1" applyBorder="1"/>
    <xf numFmtId="3" fontId="19" fillId="0" borderId="4" xfId="2" applyNumberFormat="1" applyFont="1" applyBorder="1"/>
    <xf numFmtId="1" fontId="21" fillId="9" borderId="0" xfId="2" applyNumberFormat="1" applyFont="1" applyFill="1" applyAlignment="1">
      <alignment wrapText="1"/>
    </xf>
    <xf numFmtId="1" fontId="21" fillId="9" borderId="4" xfId="2" applyNumberFormat="1" applyFont="1" applyFill="1" applyBorder="1"/>
    <xf numFmtId="3" fontId="19" fillId="0" borderId="8" xfId="2" applyNumberFormat="1" applyFont="1" applyBorder="1" applyAlignment="1">
      <alignment wrapText="1"/>
    </xf>
    <xf numFmtId="3" fontId="19" fillId="0" borderId="8" xfId="2" applyNumberFormat="1" applyFont="1" applyBorder="1"/>
    <xf numFmtId="3" fontId="19" fillId="0" borderId="0" xfId="2" applyNumberFormat="1" applyFont="1"/>
    <xf numFmtId="0" fontId="6" fillId="14" borderId="0" xfId="2" applyFill="1"/>
    <xf numFmtId="0" fontId="22" fillId="0" borderId="0" xfId="2" applyFont="1"/>
    <xf numFmtId="0" fontId="23" fillId="0" borderId="0" xfId="0" applyFont="1"/>
    <xf numFmtId="44" fontId="1" fillId="0" borderId="0" xfId="3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164" fontId="24" fillId="0" borderId="0" xfId="0" applyNumberFormat="1" applyFont="1" applyAlignment="1">
      <alignment horizontal="center"/>
    </xf>
    <xf numFmtId="17" fontId="24" fillId="0" borderId="0" xfId="0" applyNumberFormat="1" applyFont="1" applyAlignment="1">
      <alignment horizontal="center"/>
    </xf>
    <xf numFmtId="44" fontId="18" fillId="2" borderId="0" xfId="0" applyNumberFormat="1" applyFont="1" applyFill="1" applyAlignment="1">
      <alignment horizontal="right"/>
    </xf>
    <xf numFmtId="44" fontId="0" fillId="2" borderId="0" xfId="3" applyFont="1" applyFill="1" applyAlignment="1">
      <alignment horizontal="right"/>
    </xf>
    <xf numFmtId="164" fontId="1" fillId="2" borderId="0" xfId="0" applyNumberFormat="1" applyFont="1" applyFill="1" applyAlignment="1">
      <alignment horizontal="right" vertical="center"/>
    </xf>
    <xf numFmtId="0" fontId="9" fillId="8" borderId="0" xfId="2" applyFont="1" applyFill="1" applyAlignment="1">
      <alignment vertical="center"/>
    </xf>
    <xf numFmtId="0" fontId="6" fillId="0" borderId="0" xfId="2" applyAlignment="1"/>
  </cellXfs>
  <cellStyles count="4">
    <cellStyle name="Normal 2" xfId="2" xr:uid="{0E3847EC-CABB-4930-B0F1-BCDF24899254}"/>
    <cellStyle name="Standard" xfId="0" builtinId="0"/>
    <cellStyle name="Währung" xfId="3" builtinId="4"/>
    <cellStyle name="Zeilenebene_1" xfId="1" builtinId="1" iLevel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1514475</xdr:colOff>
      <xdr:row>5</xdr:row>
      <xdr:rowOff>108857</xdr:rowOff>
    </xdr:from>
    <xdr:to>
      <xdr:col>25</xdr:col>
      <xdr:colOff>47625</xdr:colOff>
      <xdr:row>35</xdr:row>
      <xdr:rowOff>47625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50117BB3-5F00-8D1A-731D-A0685BBABB4D}"/>
            </a:ext>
          </a:extLst>
        </xdr:cNvPr>
        <xdr:cNvSpPr/>
      </xdr:nvSpPr>
      <xdr:spPr>
        <a:xfrm>
          <a:off x="2276475" y="1115786"/>
          <a:ext cx="17637579" cy="565376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Grafik für Steer Co etc. </a:t>
          </a:r>
        </a:p>
        <a:p>
          <a:pPr algn="l"/>
          <a:endParaRPr lang="de-DE" sz="1100"/>
        </a:p>
        <a:p>
          <a:pPr algn="l"/>
          <a:endParaRPr lang="de-DE" sz="1100"/>
        </a:p>
        <a:p>
          <a:pPr algn="l"/>
          <a:endParaRPr lang="de-DE" sz="1100"/>
        </a:p>
        <a:p>
          <a:pPr algn="l"/>
          <a:endParaRPr lang="de-DE" sz="1100"/>
        </a:p>
        <a:p>
          <a:pPr algn="l"/>
          <a:r>
            <a:rPr lang="de-DE" sz="1100"/>
            <a:t>Approved Budget</a:t>
          </a:r>
        </a:p>
        <a:p>
          <a:pPr algn="l"/>
          <a:endParaRPr lang="de-DE" sz="1100"/>
        </a:p>
        <a:p>
          <a:pPr algn="l"/>
          <a:endParaRPr lang="de-DE" sz="1100"/>
        </a:p>
        <a:p>
          <a:pPr algn="l"/>
          <a:endParaRPr lang="de-DE" sz="1100"/>
        </a:p>
        <a:p>
          <a:pPr algn="l"/>
          <a:endParaRPr lang="de-DE" sz="1100"/>
        </a:p>
        <a:p>
          <a:pPr algn="l"/>
          <a:r>
            <a:rPr lang="de-DE" sz="1100"/>
            <a:t>Stationen / Rubriken</a:t>
          </a:r>
        </a:p>
        <a:p>
          <a:pPr algn="l"/>
          <a:r>
            <a:rPr lang="de-DE" sz="1100"/>
            <a:t>- initial offer</a:t>
          </a:r>
        </a:p>
        <a:p>
          <a:pPr algn="l"/>
          <a:r>
            <a:rPr lang="de-DE" sz="1100"/>
            <a:t>- change cost</a:t>
          </a:r>
        </a:p>
        <a:p>
          <a:pPr algn="l"/>
          <a:r>
            <a:rPr lang="de-DE" sz="1100"/>
            <a:t>- expected cost to completion</a:t>
          </a:r>
          <a:r>
            <a:rPr lang="de-DE" sz="1100" baseline="0"/>
            <a:t> </a:t>
          </a:r>
        </a:p>
        <a:p>
          <a:pPr algn="l"/>
          <a:endParaRPr lang="de-DE" sz="1100" baseline="0"/>
        </a:p>
        <a:p>
          <a:pPr algn="l"/>
          <a:endParaRPr lang="de-DE" sz="1100" baseline="0"/>
        </a:p>
        <a:p>
          <a:pPr algn="l"/>
          <a:endParaRPr lang="de-DE" sz="1100" baseline="0"/>
        </a:p>
        <a:p>
          <a:pPr algn="l"/>
          <a:endParaRPr lang="de-DE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 Mielke" id="{31B443AD-2645-41A3-8AEE-1D0537E7E422}" userId="S::chris.mielke@tytan-technologies.com::217d4283-95ed-48bd-87f9-7985175e73e3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2-26T12:56:25.12" personId="{31B443AD-2645-41A3-8AEE-1D0537E7E422}" id="{5D79F016-AC4B-465E-9B41-B67FCE68EC73}">
    <text xml:space="preserve">Just initial setup and wihtout Development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" dT="2026-02-26T12:56:25.12" personId="{31B443AD-2645-41A3-8AEE-1D0537E7E422}" id="{1B543B4D-806C-4491-B2CE-CCB61CFD3F77}">
    <text xml:space="preserve">Just initial setup and wihtout Development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41" dT="2026-02-26T12:31:42.36" personId="{31B443AD-2645-41A3-8AEE-1D0537E7E422}" id="{4CF0DE7D-A15B-4E3D-9108-353DA5E5D574}">
    <text>Equipment Bryan</text>
  </threadedComment>
  <threadedComment ref="K43" dT="2026-02-26T12:31:51.73" personId="{31B443AD-2645-41A3-8AEE-1D0537E7E422}" id="{48C959EF-A208-4C5A-8871-09509F3962A0}">
    <text>Integration Günther + Gin Tonic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C1D0-8AB4-4855-A5FB-2D85DE8542F3}">
  <dimension ref="A1:AP75"/>
  <sheetViews>
    <sheetView topLeftCell="A27" zoomScale="70" zoomScaleNormal="70" workbookViewId="0">
      <selection activeCell="J53" sqref="J53"/>
    </sheetView>
  </sheetViews>
  <sheetFormatPr defaultColWidth="11.42578125" defaultRowHeight="14.45"/>
  <cols>
    <col min="1" max="1" width="11.42578125" style="3"/>
    <col min="2" max="2" width="23.7109375" customWidth="1"/>
    <col min="26" max="42" width="11.42578125" style="3"/>
  </cols>
  <sheetData>
    <row r="1" spans="2:25" s="3" customFormat="1"/>
    <row r="2" spans="2:25" s="3" customFormat="1" ht="18.600000000000001">
      <c r="B2" s="5" t="s">
        <v>0</v>
      </c>
    </row>
    <row r="3" spans="2:25" s="3" customFormat="1">
      <c r="B3" s="4" t="s">
        <v>1</v>
      </c>
    </row>
    <row r="4" spans="2:25" s="3" customFormat="1"/>
    <row r="5" spans="2: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2:25">
      <c r="B6" s="3"/>
    </row>
    <row r="7" spans="2:25">
      <c r="B7" s="3"/>
    </row>
    <row r="8" spans="2:25">
      <c r="B8" s="3"/>
    </row>
    <row r="9" spans="2:25">
      <c r="B9" s="3"/>
    </row>
    <row r="10" spans="2:25">
      <c r="B10" s="3"/>
    </row>
    <row r="11" spans="2:25">
      <c r="B11" s="3"/>
    </row>
    <row r="12" spans="2:25">
      <c r="B12" s="3"/>
    </row>
    <row r="13" spans="2:25">
      <c r="B13" s="3"/>
    </row>
    <row r="14" spans="2:25">
      <c r="B14" s="3"/>
    </row>
    <row r="15" spans="2:25">
      <c r="B15" s="3"/>
    </row>
    <row r="16" spans="2:25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1:42">
      <c r="B33" s="3"/>
    </row>
    <row r="34" spans="1:42">
      <c r="B34" s="3"/>
    </row>
    <row r="35" spans="1:42">
      <c r="B35" s="3"/>
    </row>
    <row r="36" spans="1:4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42" s="3" customFormat="1">
      <c r="B37" s="4" t="s">
        <v>2</v>
      </c>
    </row>
    <row r="38" spans="1:42" s="3" customFormat="1"/>
    <row r="39" spans="1:42" s="3" customFormat="1">
      <c r="B39" s="19"/>
      <c r="C39" s="20">
        <v>46054</v>
      </c>
      <c r="D39" s="20">
        <v>46082</v>
      </c>
      <c r="E39" s="20">
        <v>46113</v>
      </c>
      <c r="F39" s="20">
        <v>46143</v>
      </c>
      <c r="G39" s="20">
        <v>46174</v>
      </c>
      <c r="H39" s="20">
        <v>46204</v>
      </c>
      <c r="I39" s="20">
        <v>46235</v>
      </c>
      <c r="J39" s="20">
        <v>46266</v>
      </c>
      <c r="K39" s="20">
        <v>46296</v>
      </c>
      <c r="L39" s="20">
        <v>46327</v>
      </c>
      <c r="M39" s="21">
        <v>46357</v>
      </c>
      <c r="N39" s="20">
        <v>46388</v>
      </c>
      <c r="O39" s="20">
        <v>46419</v>
      </c>
      <c r="P39" s="20">
        <v>46447</v>
      </c>
      <c r="Q39" s="20">
        <v>46478</v>
      </c>
      <c r="R39" s="20">
        <v>46508</v>
      </c>
      <c r="S39" s="20">
        <v>46539</v>
      </c>
      <c r="T39" s="20">
        <v>46569</v>
      </c>
      <c r="U39" s="20">
        <v>46600</v>
      </c>
      <c r="V39" s="20">
        <v>46631</v>
      </c>
      <c r="W39" s="20">
        <v>46661</v>
      </c>
      <c r="X39" s="20">
        <v>46692</v>
      </c>
      <c r="Y39" s="20">
        <v>46722</v>
      </c>
    </row>
    <row r="40" spans="1:42">
      <c r="B40" t="s">
        <v>3</v>
      </c>
      <c r="M40" s="17"/>
    </row>
    <row r="41" spans="1:42">
      <c r="B41" t="s">
        <v>4</v>
      </c>
      <c r="M41" s="17"/>
    </row>
    <row r="42" spans="1:42">
      <c r="B42" t="s">
        <v>5</v>
      </c>
      <c r="M42" s="17"/>
    </row>
    <row r="43" spans="1:42">
      <c r="B43" t="s">
        <v>6</v>
      </c>
      <c r="M43" s="17"/>
    </row>
    <row r="44" spans="1:42">
      <c r="B44" t="s">
        <v>7</v>
      </c>
      <c r="M44" s="17"/>
    </row>
    <row r="45" spans="1:42">
      <c r="B45" t="s">
        <v>8</v>
      </c>
      <c r="M45" s="17"/>
    </row>
    <row r="46" spans="1:42" s="6" customFormat="1">
      <c r="A46" s="4"/>
      <c r="C46" s="8">
        <f>SUM(C40:C45)</f>
        <v>0</v>
      </c>
      <c r="D46" s="8">
        <f t="shared" ref="D46:Y46" si="0">SUM(D40:D45)</f>
        <v>0</v>
      </c>
      <c r="E46" s="8">
        <f t="shared" si="0"/>
        <v>0</v>
      </c>
      <c r="F46" s="8">
        <f t="shared" si="0"/>
        <v>0</v>
      </c>
      <c r="G46" s="8">
        <f t="shared" si="0"/>
        <v>0</v>
      </c>
      <c r="H46" s="8">
        <f t="shared" si="0"/>
        <v>0</v>
      </c>
      <c r="I46" s="8">
        <f t="shared" si="0"/>
        <v>0</v>
      </c>
      <c r="J46" s="8">
        <f t="shared" si="0"/>
        <v>0</v>
      </c>
      <c r="K46" s="8">
        <f t="shared" si="0"/>
        <v>0</v>
      </c>
      <c r="L46" s="8">
        <f t="shared" si="0"/>
        <v>0</v>
      </c>
      <c r="M46" s="18">
        <f t="shared" si="0"/>
        <v>0</v>
      </c>
      <c r="N46" s="8">
        <f t="shared" si="0"/>
        <v>0</v>
      </c>
      <c r="O46" s="8">
        <f t="shared" si="0"/>
        <v>0</v>
      </c>
      <c r="P46" s="8">
        <f t="shared" si="0"/>
        <v>0</v>
      </c>
      <c r="Q46" s="8">
        <f t="shared" si="0"/>
        <v>0</v>
      </c>
      <c r="R46" s="8">
        <f t="shared" si="0"/>
        <v>0</v>
      </c>
      <c r="S46" s="8">
        <f t="shared" si="0"/>
        <v>0</v>
      </c>
      <c r="T46" s="8">
        <f t="shared" si="0"/>
        <v>0</v>
      </c>
      <c r="U46" s="8">
        <f t="shared" si="0"/>
        <v>0</v>
      </c>
      <c r="V46" s="8">
        <f t="shared" si="0"/>
        <v>0</v>
      </c>
      <c r="W46" s="8">
        <f t="shared" si="0"/>
        <v>0</v>
      </c>
      <c r="X46" s="8">
        <f t="shared" si="0"/>
        <v>0</v>
      </c>
      <c r="Y46" s="8">
        <f t="shared" si="0"/>
        <v>0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s="3" customFormat="1"/>
    <row r="48" spans="1:42" s="3" customFormat="1">
      <c r="B48" s="22" t="s">
        <v>9</v>
      </c>
    </row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</sheetData>
  <pageMargins left="0.7" right="0.7" top="0.78740157499999996" bottom="0.78740157499999996" header="0.3" footer="0.3"/>
  <ignoredErrors>
    <ignoredError sqref="C46 D46:Y4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E826-24B4-4C7E-B9D2-B1D56EC9B794}">
  <dimension ref="B2:F26"/>
  <sheetViews>
    <sheetView zoomScale="139" zoomScaleNormal="145" workbookViewId="0">
      <selection activeCell="C10" sqref="C10"/>
    </sheetView>
  </sheetViews>
  <sheetFormatPr defaultColWidth="11.42578125" defaultRowHeight="14.45"/>
  <cols>
    <col min="2" max="2" width="20.85546875" customWidth="1"/>
    <col min="3" max="3" width="17" style="9" customWidth="1"/>
    <col min="4" max="4" width="22.42578125" style="9" customWidth="1"/>
    <col min="5" max="5" width="22.42578125" customWidth="1"/>
    <col min="6" max="6" width="32.5703125" customWidth="1"/>
    <col min="7" max="7" width="30.42578125" bestFit="1" customWidth="1"/>
  </cols>
  <sheetData>
    <row r="2" spans="2:6">
      <c r="C2" s="9" t="s">
        <v>10</v>
      </c>
      <c r="D2" s="9" t="s">
        <v>11</v>
      </c>
      <c r="E2" s="9" t="s">
        <v>12</v>
      </c>
      <c r="F2" s="9" t="s">
        <v>13</v>
      </c>
    </row>
    <row r="3" spans="2:6">
      <c r="B3" t="s">
        <v>3</v>
      </c>
    </row>
    <row r="4" spans="2:6">
      <c r="B4" t="s">
        <v>4</v>
      </c>
    </row>
    <row r="5" spans="2:6">
      <c r="B5" t="s">
        <v>5</v>
      </c>
    </row>
    <row r="6" spans="2:6">
      <c r="B6" t="s">
        <v>6</v>
      </c>
    </row>
    <row r="7" spans="2:6">
      <c r="B7" s="14" t="s">
        <v>14</v>
      </c>
      <c r="D7" s="89"/>
    </row>
    <row r="8" spans="2:6">
      <c r="B8" s="14" t="s">
        <v>15</v>
      </c>
      <c r="D8" s="89"/>
    </row>
    <row r="9" spans="2:6">
      <c r="B9" s="14" t="s">
        <v>16</v>
      </c>
      <c r="D9" s="89"/>
    </row>
    <row r="10" spans="2:6">
      <c r="B10" s="14" t="s">
        <v>17</v>
      </c>
      <c r="D10" s="89"/>
    </row>
    <row r="11" spans="2:6" s="6" customFormat="1">
      <c r="B11" s="120" t="s">
        <v>18</v>
      </c>
      <c r="C11" s="121"/>
      <c r="D11" s="121"/>
    </row>
    <row r="12" spans="2:6">
      <c r="C12" s="89"/>
      <c r="D12" s="89"/>
    </row>
    <row r="13" spans="2:6">
      <c r="C13" s="89"/>
      <c r="D13" s="89"/>
    </row>
    <row r="16" spans="2:6">
      <c r="C16" s="89"/>
      <c r="D16" s="89"/>
    </row>
    <row r="17" spans="3:4">
      <c r="C17" s="89"/>
      <c r="D17" s="89"/>
    </row>
    <row r="18" spans="3:4">
      <c r="C18" s="89"/>
      <c r="D18" s="89"/>
    </row>
    <row r="19" spans="3:4">
      <c r="C19" s="89"/>
      <c r="D19" s="89"/>
    </row>
    <row r="20" spans="3:4">
      <c r="C20" s="89"/>
      <c r="D20" s="89"/>
    </row>
    <row r="21" spans="3:4">
      <c r="C21" s="89"/>
      <c r="D21" s="89"/>
    </row>
    <row r="22" spans="3:4">
      <c r="C22" s="89"/>
      <c r="D22" s="89"/>
    </row>
    <row r="23" spans="3:4">
      <c r="C23" s="89"/>
      <c r="D23" s="89"/>
    </row>
    <row r="24" spans="3:4">
      <c r="C24" s="89"/>
      <c r="D24" s="89"/>
    </row>
    <row r="25" spans="3:4">
      <c r="C25" s="89"/>
      <c r="D25" s="89"/>
    </row>
    <row r="26" spans="3:4">
      <c r="C26" s="89"/>
      <c r="D26" s="8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67AB-29BD-447D-ABCB-722817D764EF}">
  <dimension ref="A1:T127"/>
  <sheetViews>
    <sheetView zoomScale="41" zoomScaleNormal="115" workbookViewId="0">
      <pane xSplit="1" ySplit="5" topLeftCell="B6" activePane="bottomRight" state="frozen"/>
      <selection pane="bottomRight" activeCell="K15" sqref="K15"/>
      <selection pane="bottomLeft" activeCell="A6" sqref="A6"/>
      <selection pane="topRight" activeCell="B1" sqref="B1"/>
    </sheetView>
  </sheetViews>
  <sheetFormatPr defaultColWidth="11.42578125" defaultRowHeight="14.45"/>
  <cols>
    <col min="1" max="1" width="11.42578125" style="3"/>
    <col min="2" max="2" width="32.7109375" customWidth="1"/>
    <col min="3" max="3" width="16.85546875" style="9" customWidth="1"/>
    <col min="4" max="4" width="15.7109375" customWidth="1"/>
    <col min="5" max="5" width="57.85546875" customWidth="1"/>
    <col min="6" max="6" width="18.28515625" style="9" customWidth="1"/>
    <col min="7" max="7" width="21.28515625" style="9" customWidth="1"/>
    <col min="8" max="9" width="23.7109375" customWidth="1"/>
    <col min="10" max="11" width="42.140625" customWidth="1"/>
    <col min="12" max="12" width="34" style="9" customWidth="1"/>
    <col min="13" max="14" width="26.28515625" style="9" customWidth="1"/>
    <col min="15" max="15" width="53.7109375" customWidth="1"/>
    <col min="16" max="20" width="11.42578125" style="3"/>
  </cols>
  <sheetData>
    <row r="1" spans="2:15" s="3" customFormat="1">
      <c r="C1" s="7"/>
      <c r="F1" s="7"/>
      <c r="G1" s="7"/>
      <c r="L1" s="7"/>
      <c r="M1" s="7"/>
      <c r="N1" s="7"/>
    </row>
    <row r="2" spans="2:15" s="3" customFormat="1" ht="18.600000000000001">
      <c r="B2" s="5" t="s">
        <v>19</v>
      </c>
      <c r="C2" s="85"/>
      <c r="D2" s="5"/>
      <c r="E2" s="97" t="s">
        <v>20</v>
      </c>
      <c r="F2" s="126">
        <f>F3-F4</f>
        <v>124093.90000000002</v>
      </c>
      <c r="G2" s="7"/>
      <c r="L2" s="7"/>
      <c r="M2" s="7"/>
      <c r="N2" s="7"/>
    </row>
    <row r="3" spans="2:15" s="3" customFormat="1">
      <c r="B3" s="4" t="s">
        <v>21</v>
      </c>
      <c r="C3" s="86"/>
      <c r="D3" s="4"/>
      <c r="E3" s="96" t="s">
        <v>22</v>
      </c>
      <c r="F3" s="127">
        <f>('BudgetTemplate19.02.2026'!M39+'BudgetTemplate19.02.2026'!M41+'BudgetTemplate19.02.2026'!M42+'BudgetTemplate19.02.2026'!M43+'BudgetTemplate19.02.2026'!M44)*0.85</f>
        <v>497250</v>
      </c>
      <c r="G3" s="7"/>
      <c r="L3" s="7"/>
      <c r="M3" s="7"/>
      <c r="N3" s="7"/>
    </row>
    <row r="4" spans="2:15" s="3" customFormat="1" ht="36" customHeight="1">
      <c r="C4" s="7"/>
      <c r="E4" s="94" t="s">
        <v>23</v>
      </c>
      <c r="F4" s="128">
        <f>SUM(F6+F22+F37+F53+F64+F75+F94)</f>
        <v>373156.1</v>
      </c>
      <c r="G4" s="7"/>
      <c r="L4" s="7"/>
      <c r="M4" s="7"/>
      <c r="N4" s="7"/>
    </row>
    <row r="5" spans="2:15" s="15" customFormat="1" ht="27.75" customHeight="1">
      <c r="B5" s="15" t="s">
        <v>24</v>
      </c>
      <c r="C5" s="16" t="s">
        <v>25</v>
      </c>
      <c r="D5" s="15" t="s">
        <v>26</v>
      </c>
      <c r="E5" s="15" t="s">
        <v>27</v>
      </c>
      <c r="F5" s="16" t="s">
        <v>28</v>
      </c>
      <c r="G5" s="16" t="s">
        <v>29</v>
      </c>
      <c r="H5" s="15" t="s">
        <v>30</v>
      </c>
      <c r="I5" s="15" t="s">
        <v>31</v>
      </c>
      <c r="J5" s="15" t="s">
        <v>32</v>
      </c>
      <c r="K5" s="15" t="s">
        <v>33</v>
      </c>
      <c r="L5" s="16" t="s">
        <v>34</v>
      </c>
      <c r="M5" s="16" t="s">
        <v>35</v>
      </c>
      <c r="N5" s="16" t="s">
        <v>36</v>
      </c>
      <c r="O5" s="15" t="s">
        <v>37</v>
      </c>
    </row>
    <row r="6" spans="2:15">
      <c r="B6" s="11" t="s">
        <v>38</v>
      </c>
      <c r="C6" s="13"/>
      <c r="D6" s="11"/>
      <c r="E6" s="11"/>
      <c r="F6" s="12">
        <f>SUM(F7:F21)</f>
        <v>87121.2</v>
      </c>
      <c r="G6" s="12"/>
      <c r="H6" s="11"/>
      <c r="I6" s="11"/>
      <c r="J6" s="11"/>
      <c r="K6" s="11"/>
      <c r="L6" s="13"/>
      <c r="M6" s="13"/>
      <c r="N6" s="13"/>
      <c r="O6" s="11"/>
    </row>
    <row r="7" spans="2:15">
      <c r="B7" s="14" t="s">
        <v>38</v>
      </c>
      <c r="C7" s="87" t="s">
        <v>39</v>
      </c>
      <c r="D7" s="84" t="s">
        <v>40</v>
      </c>
      <c r="E7" t="s">
        <v>41</v>
      </c>
      <c r="F7" s="10">
        <f>(16692+19192)*0.7</f>
        <v>25118.799999999999</v>
      </c>
      <c r="G7" s="90">
        <v>46174</v>
      </c>
      <c r="H7" t="s">
        <v>42</v>
      </c>
      <c r="I7" t="s">
        <v>43</v>
      </c>
      <c r="J7" t="s">
        <v>44</v>
      </c>
      <c r="L7" s="9" t="s">
        <v>45</v>
      </c>
    </row>
    <row r="8" spans="2:15">
      <c r="B8" s="14" t="s">
        <v>38</v>
      </c>
      <c r="C8" s="87" t="s">
        <v>39</v>
      </c>
      <c r="D8" s="84" t="s">
        <v>40</v>
      </c>
      <c r="E8" t="s">
        <v>46</v>
      </c>
      <c r="F8" s="10">
        <f>19192*0.7</f>
        <v>13434.4</v>
      </c>
      <c r="G8" s="90">
        <v>46174</v>
      </c>
      <c r="H8" t="s">
        <v>42</v>
      </c>
      <c r="I8" t="s">
        <v>43</v>
      </c>
      <c r="J8" t="s">
        <v>44</v>
      </c>
      <c r="L8" s="9" t="s">
        <v>45</v>
      </c>
    </row>
    <row r="9" spans="2:15">
      <c r="B9" s="14" t="s">
        <v>38</v>
      </c>
      <c r="C9" s="87" t="s">
        <v>39</v>
      </c>
      <c r="D9" s="84" t="s">
        <v>40</v>
      </c>
      <c r="E9" t="s">
        <v>47</v>
      </c>
      <c r="F9" s="10">
        <v>0</v>
      </c>
      <c r="G9" s="90">
        <v>46204</v>
      </c>
      <c r="H9" t="s">
        <v>42</v>
      </c>
      <c r="I9" t="s">
        <v>43</v>
      </c>
      <c r="J9" t="s">
        <v>48</v>
      </c>
      <c r="L9" s="9" t="s">
        <v>45</v>
      </c>
    </row>
    <row r="10" spans="2:15">
      <c r="B10" s="14" t="s">
        <v>38</v>
      </c>
      <c r="C10" s="87" t="s">
        <v>39</v>
      </c>
      <c r="D10" s="84" t="s">
        <v>40</v>
      </c>
      <c r="E10" t="s">
        <v>49</v>
      </c>
      <c r="F10" s="10">
        <f>(4*3060)*0.7</f>
        <v>8568</v>
      </c>
      <c r="G10" s="90">
        <v>46204</v>
      </c>
      <c r="H10" t="s">
        <v>42</v>
      </c>
      <c r="I10" t="s">
        <v>43</v>
      </c>
      <c r="J10" t="s">
        <v>44</v>
      </c>
      <c r="L10" s="9" t="s">
        <v>45</v>
      </c>
    </row>
    <row r="11" spans="2:15">
      <c r="B11" s="14" t="s">
        <v>38</v>
      </c>
      <c r="C11" s="87" t="s">
        <v>39</v>
      </c>
      <c r="D11" s="84" t="s">
        <v>40</v>
      </c>
      <c r="E11" t="s">
        <v>50</v>
      </c>
      <c r="F11" s="10">
        <v>2000</v>
      </c>
      <c r="G11" s="90">
        <v>46266</v>
      </c>
      <c r="H11" t="s">
        <v>51</v>
      </c>
      <c r="I11" t="s">
        <v>52</v>
      </c>
    </row>
    <row r="12" spans="2:15">
      <c r="B12" s="14" t="s">
        <v>38</v>
      </c>
      <c r="C12" s="88"/>
      <c r="D12" s="14"/>
      <c r="F12" s="10"/>
      <c r="G12" s="90"/>
    </row>
    <row r="13" spans="2:15">
      <c r="B13" s="14" t="s">
        <v>38</v>
      </c>
      <c r="C13" s="88"/>
      <c r="D13" s="14"/>
      <c r="F13" s="10"/>
      <c r="G13" s="90"/>
    </row>
    <row r="14" spans="2:15">
      <c r="B14" s="14" t="s">
        <v>38</v>
      </c>
      <c r="C14" s="88"/>
      <c r="D14" s="14"/>
      <c r="F14" s="10"/>
      <c r="G14" s="90"/>
    </row>
    <row r="15" spans="2:15">
      <c r="B15" s="14" t="s">
        <v>38</v>
      </c>
      <c r="C15" s="122" t="s">
        <v>53</v>
      </c>
      <c r="D15" s="123" t="s">
        <v>54</v>
      </c>
      <c r="E15" s="123" t="s">
        <v>55</v>
      </c>
      <c r="F15" s="124">
        <f>4*4500</f>
        <v>18000</v>
      </c>
      <c r="G15" s="125">
        <v>46266</v>
      </c>
      <c r="H15" s="123" t="s">
        <v>51</v>
      </c>
      <c r="L15" s="122" t="s">
        <v>56</v>
      </c>
    </row>
    <row r="16" spans="2:15">
      <c r="B16" s="14" t="s">
        <v>38</v>
      </c>
      <c r="C16" s="122" t="s">
        <v>53</v>
      </c>
      <c r="D16" s="123" t="s">
        <v>54</v>
      </c>
      <c r="E16" s="123" t="s">
        <v>57</v>
      </c>
      <c r="F16" s="124">
        <v>5000</v>
      </c>
      <c r="G16" s="125">
        <v>46266</v>
      </c>
      <c r="H16" s="123" t="s">
        <v>51</v>
      </c>
      <c r="L16" s="122" t="s">
        <v>56</v>
      </c>
    </row>
    <row r="17" spans="2:15">
      <c r="B17" s="14" t="s">
        <v>38</v>
      </c>
      <c r="C17" s="122" t="s">
        <v>53</v>
      </c>
      <c r="D17" s="123" t="s">
        <v>54</v>
      </c>
      <c r="E17" s="123" t="s">
        <v>58</v>
      </c>
      <c r="F17" s="124">
        <v>5000</v>
      </c>
      <c r="G17" s="125">
        <v>46266</v>
      </c>
      <c r="H17" s="123" t="s">
        <v>51</v>
      </c>
      <c r="L17" s="122" t="s">
        <v>56</v>
      </c>
    </row>
    <row r="18" spans="2:15">
      <c r="B18" s="14" t="s">
        <v>38</v>
      </c>
      <c r="C18" s="122" t="s">
        <v>59</v>
      </c>
      <c r="D18" s="123" t="s">
        <v>60</v>
      </c>
      <c r="E18" s="123" t="s">
        <v>61</v>
      </c>
      <c r="F18" s="124">
        <v>10000</v>
      </c>
      <c r="G18" s="125">
        <v>46327</v>
      </c>
      <c r="H18" s="123" t="s">
        <v>51</v>
      </c>
      <c r="L18" s="122" t="s">
        <v>56</v>
      </c>
    </row>
    <row r="19" spans="2:15">
      <c r="B19" s="14" t="s">
        <v>38</v>
      </c>
      <c r="C19" s="122"/>
      <c r="D19" s="123"/>
      <c r="E19" s="123"/>
      <c r="F19" s="124"/>
      <c r="G19" s="125"/>
      <c r="H19" s="123"/>
      <c r="L19" s="122"/>
    </row>
    <row r="20" spans="2:15">
      <c r="B20" s="14" t="s">
        <v>38</v>
      </c>
      <c r="C20" s="122"/>
      <c r="D20" s="123"/>
      <c r="E20" s="123"/>
      <c r="F20" s="124"/>
      <c r="G20" s="125"/>
      <c r="H20" s="123"/>
      <c r="L20" s="122"/>
    </row>
    <row r="21" spans="2:15">
      <c r="B21" s="14" t="s">
        <v>38</v>
      </c>
      <c r="C21" s="88"/>
      <c r="D21" s="14"/>
      <c r="F21" s="10"/>
      <c r="G21" s="90"/>
    </row>
    <row r="22" spans="2:15">
      <c r="B22" s="11" t="s">
        <v>62</v>
      </c>
      <c r="C22" s="13"/>
      <c r="D22" s="11"/>
      <c r="E22" s="11"/>
      <c r="F22" s="12">
        <f>SUM(F23:F36)</f>
        <v>90077.4</v>
      </c>
      <c r="G22" s="92"/>
      <c r="H22" s="11"/>
      <c r="I22" s="11"/>
      <c r="J22" s="11"/>
      <c r="K22" s="11"/>
      <c r="L22" s="13"/>
      <c r="M22" s="13"/>
      <c r="N22" s="13"/>
      <c r="O22" s="11"/>
    </row>
    <row r="23" spans="2:15">
      <c r="B23" s="14" t="s">
        <v>62</v>
      </c>
      <c r="C23" s="87" t="s">
        <v>39</v>
      </c>
      <c r="D23" s="84" t="s">
        <v>40</v>
      </c>
      <c r="E23" t="s">
        <v>63</v>
      </c>
      <c r="F23" s="10">
        <f>(3947*6)*0.7</f>
        <v>16577.399999999998</v>
      </c>
      <c r="G23" s="90">
        <v>46174</v>
      </c>
      <c r="H23" t="s">
        <v>42</v>
      </c>
      <c r="I23" t="s">
        <v>43</v>
      </c>
      <c r="J23" t="s">
        <v>44</v>
      </c>
      <c r="L23" s="9" t="s">
        <v>56</v>
      </c>
    </row>
    <row r="24" spans="2:15">
      <c r="B24" s="14" t="s">
        <v>62</v>
      </c>
      <c r="C24" s="87" t="s">
        <v>39</v>
      </c>
      <c r="D24" s="84" t="s">
        <v>40</v>
      </c>
      <c r="E24" t="s">
        <v>64</v>
      </c>
      <c r="F24" s="10">
        <f>(4*3750)*0.7</f>
        <v>10500</v>
      </c>
      <c r="G24" s="90">
        <v>46204</v>
      </c>
      <c r="H24" t="s">
        <v>42</v>
      </c>
      <c r="I24" t="s">
        <v>43</v>
      </c>
      <c r="J24" t="s">
        <v>44</v>
      </c>
    </row>
    <row r="25" spans="2:15">
      <c r="B25" s="14" t="s">
        <v>62</v>
      </c>
      <c r="C25" s="87" t="s">
        <v>39</v>
      </c>
      <c r="D25" s="84" t="s">
        <v>40</v>
      </c>
      <c r="E25" t="s">
        <v>47</v>
      </c>
      <c r="F25" s="10">
        <v>0</v>
      </c>
      <c r="G25" s="90">
        <v>46204</v>
      </c>
      <c r="H25" t="s">
        <v>42</v>
      </c>
      <c r="I25" t="s">
        <v>43</v>
      </c>
      <c r="J25" t="s">
        <v>48</v>
      </c>
    </row>
    <row r="26" spans="2:15">
      <c r="B26" s="14" t="s">
        <v>62</v>
      </c>
      <c r="C26" s="87" t="s">
        <v>39</v>
      </c>
      <c r="D26" s="84" t="s">
        <v>40</v>
      </c>
      <c r="E26" t="s">
        <v>50</v>
      </c>
      <c r="F26" s="10">
        <v>2000</v>
      </c>
      <c r="G26" s="90">
        <v>46266</v>
      </c>
      <c r="H26" t="s">
        <v>51</v>
      </c>
      <c r="I26" t="s">
        <v>52</v>
      </c>
    </row>
    <row r="27" spans="2:15">
      <c r="B27" s="14" t="s">
        <v>62</v>
      </c>
      <c r="C27" s="88"/>
      <c r="D27" s="14"/>
      <c r="F27" s="10"/>
      <c r="G27" s="90"/>
    </row>
    <row r="28" spans="2:15">
      <c r="B28" s="14" t="s">
        <v>62</v>
      </c>
      <c r="J28" s="123"/>
      <c r="K28" s="123"/>
      <c r="L28" s="122" t="s">
        <v>56</v>
      </c>
    </row>
    <row r="29" spans="2:15">
      <c r="B29" s="14" t="s">
        <v>62</v>
      </c>
      <c r="J29" s="123"/>
      <c r="K29" s="123"/>
      <c r="L29" s="122" t="s">
        <v>56</v>
      </c>
    </row>
    <row r="30" spans="2:15">
      <c r="B30" s="14" t="s">
        <v>62</v>
      </c>
      <c r="C30" s="122" t="s">
        <v>53</v>
      </c>
      <c r="D30" s="123" t="s">
        <v>54</v>
      </c>
      <c r="E30" s="123" t="s">
        <v>65</v>
      </c>
      <c r="F30" s="124">
        <f>8*4500</f>
        <v>36000</v>
      </c>
      <c r="G30" s="125">
        <v>46174</v>
      </c>
      <c r="H30" s="123" t="s">
        <v>51</v>
      </c>
      <c r="I30" s="123" t="s">
        <v>43</v>
      </c>
      <c r="J30" s="123"/>
      <c r="K30" s="123"/>
      <c r="L30" s="122" t="s">
        <v>56</v>
      </c>
    </row>
    <row r="31" spans="2:15">
      <c r="B31" s="14" t="s">
        <v>62</v>
      </c>
      <c r="C31" s="122" t="s">
        <v>53</v>
      </c>
      <c r="D31" s="123" t="s">
        <v>54</v>
      </c>
      <c r="E31" s="123" t="s">
        <v>47</v>
      </c>
      <c r="F31" s="124">
        <v>10000</v>
      </c>
      <c r="G31" s="125">
        <v>46204</v>
      </c>
      <c r="H31" s="123" t="s">
        <v>51</v>
      </c>
      <c r="I31" s="123" t="s">
        <v>43</v>
      </c>
      <c r="L31" s="122" t="s">
        <v>56</v>
      </c>
    </row>
    <row r="32" spans="2:15">
      <c r="B32" s="14" t="s">
        <v>62</v>
      </c>
      <c r="C32" s="122" t="s">
        <v>53</v>
      </c>
      <c r="D32" s="123" t="s">
        <v>54</v>
      </c>
      <c r="E32" s="123" t="s">
        <v>66</v>
      </c>
      <c r="F32" s="124">
        <v>5000</v>
      </c>
      <c r="G32" s="125">
        <v>46204</v>
      </c>
      <c r="H32" s="123" t="s">
        <v>51</v>
      </c>
      <c r="I32" s="123" t="s">
        <v>43</v>
      </c>
      <c r="L32" s="122"/>
    </row>
    <row r="33" spans="2:15">
      <c r="B33" s="14" t="s">
        <v>62</v>
      </c>
      <c r="C33" s="122" t="s">
        <v>59</v>
      </c>
      <c r="D33" s="123" t="s">
        <v>60</v>
      </c>
      <c r="E33" s="123" t="s">
        <v>61</v>
      </c>
      <c r="F33" s="124">
        <v>10000</v>
      </c>
      <c r="G33" s="125">
        <v>46327</v>
      </c>
      <c r="H33" s="123" t="s">
        <v>51</v>
      </c>
      <c r="L33" s="122"/>
    </row>
    <row r="34" spans="2:15">
      <c r="B34" s="14" t="s">
        <v>62</v>
      </c>
      <c r="C34" s="88"/>
      <c r="D34" s="14"/>
      <c r="F34" s="10"/>
      <c r="G34" s="90"/>
    </row>
    <row r="35" spans="2:15">
      <c r="B35" s="14" t="s">
        <v>62</v>
      </c>
      <c r="C35" s="88"/>
      <c r="D35" s="14"/>
      <c r="F35" s="10"/>
      <c r="G35" s="90"/>
    </row>
    <row r="36" spans="2:15">
      <c r="B36" s="14" t="s">
        <v>62</v>
      </c>
      <c r="C36" s="88"/>
      <c r="D36" s="14"/>
      <c r="F36" s="10"/>
      <c r="G36" s="90"/>
    </row>
    <row r="37" spans="2:15">
      <c r="B37" s="11" t="s">
        <v>67</v>
      </c>
      <c r="C37" s="13"/>
      <c r="D37" s="11"/>
      <c r="E37" s="11"/>
      <c r="F37" s="12">
        <f>SUM(F38:F52)</f>
        <v>133873</v>
      </c>
      <c r="G37" s="92"/>
      <c r="H37" s="11"/>
      <c r="I37" s="11"/>
      <c r="J37" s="11"/>
      <c r="K37" s="11"/>
      <c r="L37" s="13"/>
      <c r="M37" s="13"/>
      <c r="N37" s="13"/>
      <c r="O37" s="11"/>
    </row>
    <row r="38" spans="2:15">
      <c r="B38" s="14" t="s">
        <v>67</v>
      </c>
      <c r="C38" s="87" t="s">
        <v>39</v>
      </c>
      <c r="D38" s="84" t="s">
        <v>40</v>
      </c>
      <c r="E38" t="s">
        <v>63</v>
      </c>
      <c r="F38" s="10">
        <f>(3947*10)*0.7</f>
        <v>27629</v>
      </c>
      <c r="G38" s="90">
        <v>46174</v>
      </c>
      <c r="H38" t="s">
        <v>42</v>
      </c>
      <c r="I38" t="s">
        <v>43</v>
      </c>
      <c r="J38" t="s">
        <v>44</v>
      </c>
      <c r="L38" s="9" t="s">
        <v>56</v>
      </c>
    </row>
    <row r="39" spans="2:15">
      <c r="B39" s="14" t="s">
        <v>67</v>
      </c>
      <c r="C39" s="87" t="s">
        <v>39</v>
      </c>
      <c r="D39" s="84" t="s">
        <v>40</v>
      </c>
      <c r="E39" t="s">
        <v>47</v>
      </c>
      <c r="F39" s="10">
        <v>0</v>
      </c>
      <c r="G39" s="90">
        <v>46204</v>
      </c>
      <c r="H39" t="s">
        <v>42</v>
      </c>
      <c r="I39" t="s">
        <v>43</v>
      </c>
      <c r="J39" t="s">
        <v>48</v>
      </c>
      <c r="L39" s="9" t="s">
        <v>56</v>
      </c>
    </row>
    <row r="40" spans="2:15">
      <c r="B40" s="14" t="s">
        <v>67</v>
      </c>
      <c r="C40" s="87" t="s">
        <v>39</v>
      </c>
      <c r="D40" s="84" t="s">
        <v>40</v>
      </c>
      <c r="E40" t="s">
        <v>68</v>
      </c>
      <c r="F40" s="10">
        <f>(8*1115)*0.7</f>
        <v>6244</v>
      </c>
      <c r="G40" s="90">
        <v>46204</v>
      </c>
      <c r="H40" t="s">
        <v>42</v>
      </c>
      <c r="I40" t="s">
        <v>43</v>
      </c>
      <c r="J40" t="s">
        <v>44</v>
      </c>
      <c r="L40" s="9" t="s">
        <v>56</v>
      </c>
    </row>
    <row r="41" spans="2:15">
      <c r="B41" s="14" t="s">
        <v>67</v>
      </c>
      <c r="C41" s="87" t="s">
        <v>39</v>
      </c>
      <c r="D41" s="84" t="s">
        <v>40</v>
      </c>
      <c r="E41" t="s">
        <v>50</v>
      </c>
      <c r="F41" s="10">
        <v>5000</v>
      </c>
      <c r="G41" s="90">
        <v>46266</v>
      </c>
      <c r="H41" t="s">
        <v>51</v>
      </c>
      <c r="I41" t="s">
        <v>52</v>
      </c>
    </row>
    <row r="42" spans="2:15">
      <c r="B42" s="14" t="s">
        <v>67</v>
      </c>
      <c r="C42" s="88"/>
      <c r="D42" s="14"/>
      <c r="F42" s="10"/>
      <c r="G42" s="90"/>
    </row>
    <row r="43" spans="2:15">
      <c r="B43" s="14" t="s">
        <v>67</v>
      </c>
      <c r="J43" s="123"/>
      <c r="K43" s="123"/>
      <c r="L43" s="122" t="s">
        <v>56</v>
      </c>
    </row>
    <row r="44" spans="2:15">
      <c r="B44" s="14" t="s">
        <v>67</v>
      </c>
      <c r="J44" s="123"/>
      <c r="K44" s="123"/>
      <c r="L44" s="122" t="s">
        <v>56</v>
      </c>
    </row>
    <row r="45" spans="2:15">
      <c r="B45" s="14" t="s">
        <v>67</v>
      </c>
      <c r="J45" s="123"/>
      <c r="K45" s="123"/>
      <c r="L45" s="122" t="s">
        <v>56</v>
      </c>
    </row>
    <row r="46" spans="2:15">
      <c r="B46" s="14" t="s">
        <v>67</v>
      </c>
      <c r="C46" s="122" t="s">
        <v>53</v>
      </c>
      <c r="D46" s="123" t="s">
        <v>54</v>
      </c>
      <c r="E46" s="123" t="s">
        <v>65</v>
      </c>
      <c r="F46" s="124">
        <f>10*4500</f>
        <v>45000</v>
      </c>
      <c r="G46" s="125">
        <v>46174</v>
      </c>
      <c r="H46" s="123" t="s">
        <v>51</v>
      </c>
      <c r="I46" s="123" t="s">
        <v>43</v>
      </c>
      <c r="L46" s="122" t="s">
        <v>56</v>
      </c>
    </row>
    <row r="47" spans="2:15">
      <c r="B47" s="14" t="s">
        <v>67</v>
      </c>
      <c r="C47" s="122" t="s">
        <v>53</v>
      </c>
      <c r="D47" s="123" t="s">
        <v>54</v>
      </c>
      <c r="E47" s="123" t="s">
        <v>47</v>
      </c>
      <c r="F47" s="124">
        <v>20000</v>
      </c>
      <c r="G47" s="125">
        <v>46204</v>
      </c>
      <c r="H47" s="123" t="s">
        <v>51</v>
      </c>
      <c r="I47" s="123" t="s">
        <v>43</v>
      </c>
      <c r="L47" s="122"/>
    </row>
    <row r="48" spans="2:15">
      <c r="B48" s="14" t="s">
        <v>67</v>
      </c>
      <c r="C48" s="122" t="s">
        <v>53</v>
      </c>
      <c r="D48" s="123" t="s">
        <v>54</v>
      </c>
      <c r="E48" s="123" t="s">
        <v>66</v>
      </c>
      <c r="F48" s="124">
        <v>20000</v>
      </c>
      <c r="G48" s="125">
        <v>46204</v>
      </c>
      <c r="H48" s="123" t="s">
        <v>51</v>
      </c>
      <c r="I48" s="123" t="s">
        <v>43</v>
      </c>
      <c r="L48" s="122"/>
    </row>
    <row r="49" spans="2:15">
      <c r="B49" s="14" t="s">
        <v>67</v>
      </c>
      <c r="C49" s="122" t="s">
        <v>59</v>
      </c>
      <c r="D49" s="123" t="s">
        <v>60</v>
      </c>
      <c r="E49" s="123" t="s">
        <v>61</v>
      </c>
      <c r="F49" s="124">
        <v>10000</v>
      </c>
      <c r="G49" s="125">
        <v>46327</v>
      </c>
      <c r="H49" s="123" t="s">
        <v>51</v>
      </c>
    </row>
    <row r="50" spans="2:15">
      <c r="B50" s="14" t="s">
        <v>67</v>
      </c>
      <c r="C50" s="88"/>
      <c r="D50" s="14"/>
      <c r="F50" s="10"/>
      <c r="G50" s="90"/>
    </row>
    <row r="51" spans="2:15">
      <c r="B51" s="14" t="s">
        <v>67</v>
      </c>
      <c r="C51" s="88"/>
      <c r="D51" s="14"/>
      <c r="F51" s="10"/>
      <c r="G51" s="90"/>
    </row>
    <row r="52" spans="2:15">
      <c r="B52" s="14" t="s">
        <v>67</v>
      </c>
      <c r="C52" s="88"/>
      <c r="D52" s="14"/>
      <c r="F52" s="10"/>
      <c r="G52" s="90"/>
    </row>
    <row r="53" spans="2:15">
      <c r="B53" s="11" t="s">
        <v>69</v>
      </c>
      <c r="C53" s="13"/>
      <c r="D53" s="11"/>
      <c r="E53" s="11"/>
      <c r="F53" s="12">
        <f>SUM(F54:F63)</f>
        <v>19756</v>
      </c>
      <c r="G53" s="92"/>
      <c r="H53" s="11"/>
      <c r="I53" s="11"/>
      <c r="J53" s="11"/>
      <c r="K53" s="11"/>
      <c r="L53" s="13"/>
      <c r="M53" s="13"/>
      <c r="N53" s="13"/>
      <c r="O53" s="11"/>
    </row>
    <row r="54" spans="2:15">
      <c r="B54" s="14" t="s">
        <v>69</v>
      </c>
      <c r="C54" s="87" t="s">
        <v>39</v>
      </c>
      <c r="D54" s="84" t="s">
        <v>40</v>
      </c>
      <c r="E54" s="84" t="s">
        <v>65</v>
      </c>
      <c r="F54" s="10">
        <f>(4*5270)*0.7</f>
        <v>14755.999999999998</v>
      </c>
      <c r="G54" s="90">
        <v>46174</v>
      </c>
      <c r="H54" t="s">
        <v>51</v>
      </c>
      <c r="I54" t="s">
        <v>43</v>
      </c>
    </row>
    <row r="55" spans="2:15">
      <c r="B55" s="14" t="s">
        <v>69</v>
      </c>
      <c r="C55" s="87" t="s">
        <v>39</v>
      </c>
      <c r="D55" s="84" t="s">
        <v>40</v>
      </c>
      <c r="E55" t="s">
        <v>47</v>
      </c>
      <c r="F55" s="10">
        <v>0</v>
      </c>
      <c r="G55" s="90">
        <v>46204</v>
      </c>
      <c r="H55" t="s">
        <v>42</v>
      </c>
      <c r="I55" t="s">
        <v>43</v>
      </c>
      <c r="J55" t="s">
        <v>48</v>
      </c>
    </row>
    <row r="56" spans="2:15">
      <c r="B56" s="14" t="s">
        <v>69</v>
      </c>
      <c r="C56" s="87" t="s">
        <v>39</v>
      </c>
      <c r="D56" s="84" t="s">
        <v>40</v>
      </c>
      <c r="E56" t="s">
        <v>50</v>
      </c>
      <c r="F56" s="10">
        <v>5000</v>
      </c>
      <c r="G56" s="90">
        <v>46266</v>
      </c>
      <c r="H56" t="s">
        <v>51</v>
      </c>
      <c r="I56" t="s">
        <v>52</v>
      </c>
    </row>
    <row r="57" spans="2:15">
      <c r="B57" s="14" t="s">
        <v>69</v>
      </c>
      <c r="C57" s="88"/>
      <c r="D57" s="14"/>
      <c r="F57" s="10"/>
      <c r="G57" s="90"/>
    </row>
    <row r="58" spans="2:15">
      <c r="B58" s="14" t="s">
        <v>69</v>
      </c>
      <c r="C58" s="88"/>
      <c r="D58" s="14"/>
      <c r="F58" s="10"/>
      <c r="G58" s="90"/>
    </row>
    <row r="59" spans="2:15">
      <c r="B59" s="14" t="s">
        <v>69</v>
      </c>
      <c r="C59" s="88"/>
      <c r="D59" s="14"/>
      <c r="F59" s="10"/>
      <c r="G59" s="90"/>
    </row>
    <row r="60" spans="2:15">
      <c r="B60" s="14" t="s">
        <v>69</v>
      </c>
      <c r="C60" s="88"/>
      <c r="D60" s="14"/>
      <c r="F60" s="10"/>
      <c r="G60" s="90"/>
    </row>
    <row r="61" spans="2:15">
      <c r="B61" s="14" t="s">
        <v>69</v>
      </c>
      <c r="C61" s="88"/>
      <c r="D61" s="14"/>
      <c r="F61" s="10"/>
      <c r="G61" s="90"/>
    </row>
    <row r="62" spans="2:15">
      <c r="B62" s="14" t="s">
        <v>69</v>
      </c>
      <c r="C62" s="88"/>
      <c r="D62" s="14"/>
      <c r="F62" s="10"/>
      <c r="G62" s="90"/>
    </row>
    <row r="63" spans="2:15">
      <c r="B63" s="14" t="s">
        <v>69</v>
      </c>
      <c r="C63" s="88"/>
      <c r="D63" s="14"/>
      <c r="F63" s="10"/>
      <c r="G63" s="90"/>
    </row>
    <row r="64" spans="2:15">
      <c r="B64" s="11" t="s">
        <v>70</v>
      </c>
      <c r="C64" s="13"/>
      <c r="D64" s="11"/>
      <c r="E64" s="11"/>
      <c r="F64" s="12">
        <f>SUM(F65:F74)</f>
        <v>0</v>
      </c>
      <c r="G64" s="92"/>
      <c r="H64" s="11"/>
      <c r="I64" s="11"/>
      <c r="J64" s="11"/>
      <c r="K64" s="11"/>
      <c r="L64" s="13"/>
      <c r="M64" s="13"/>
      <c r="N64" s="13"/>
      <c r="O64" s="11"/>
    </row>
    <row r="65" spans="2:15">
      <c r="B65" s="14" t="s">
        <v>70</v>
      </c>
      <c r="C65" s="87" t="s">
        <v>39</v>
      </c>
      <c r="D65" s="84" t="s">
        <v>40</v>
      </c>
      <c r="E65" t="s">
        <v>71</v>
      </c>
      <c r="F65" s="10"/>
      <c r="G65" s="90"/>
    </row>
    <row r="66" spans="2:15">
      <c r="B66" s="14" t="s">
        <v>70</v>
      </c>
      <c r="C66" s="87" t="s">
        <v>39</v>
      </c>
      <c r="D66" s="84" t="s">
        <v>40</v>
      </c>
      <c r="E66" t="s">
        <v>72</v>
      </c>
      <c r="F66" s="10"/>
      <c r="G66" s="90"/>
    </row>
    <row r="67" spans="2:15">
      <c r="B67" s="14" t="s">
        <v>70</v>
      </c>
      <c r="C67" s="87" t="s">
        <v>39</v>
      </c>
      <c r="D67" s="84" t="s">
        <v>40</v>
      </c>
      <c r="E67" t="s">
        <v>73</v>
      </c>
      <c r="F67" s="10"/>
      <c r="G67" s="90"/>
    </row>
    <row r="68" spans="2:15">
      <c r="B68" s="14" t="s">
        <v>70</v>
      </c>
      <c r="C68" s="88"/>
      <c r="D68" s="14"/>
      <c r="F68" s="10"/>
      <c r="G68" s="90"/>
    </row>
    <row r="69" spans="2:15">
      <c r="B69" s="14" t="s">
        <v>70</v>
      </c>
      <c r="C69" s="88"/>
      <c r="D69" s="14"/>
      <c r="F69" s="10"/>
      <c r="G69" s="90"/>
    </row>
    <row r="70" spans="2:15">
      <c r="B70" s="14" t="s">
        <v>70</v>
      </c>
      <c r="C70" s="88"/>
      <c r="D70" s="14"/>
      <c r="F70" s="10"/>
      <c r="G70" s="90"/>
    </row>
    <row r="71" spans="2:15">
      <c r="B71" s="14" t="s">
        <v>70</v>
      </c>
      <c r="C71" s="88"/>
      <c r="D71" s="14"/>
      <c r="F71" s="10"/>
      <c r="G71" s="90"/>
    </row>
    <row r="72" spans="2:15">
      <c r="B72" s="14" t="s">
        <v>70</v>
      </c>
      <c r="C72" s="88"/>
      <c r="D72" s="14"/>
      <c r="F72" s="10"/>
      <c r="G72" s="90"/>
    </row>
    <row r="73" spans="2:15">
      <c r="B73" s="14" t="s">
        <v>70</v>
      </c>
      <c r="C73" s="88"/>
      <c r="D73" s="14"/>
      <c r="F73" s="10"/>
      <c r="G73" s="90"/>
    </row>
    <row r="74" spans="2:15">
      <c r="B74" s="14" t="s">
        <v>70</v>
      </c>
      <c r="C74" s="88"/>
      <c r="D74" s="14"/>
      <c r="F74" s="10"/>
      <c r="G74" s="90"/>
    </row>
    <row r="75" spans="2:15">
      <c r="B75" s="11" t="s">
        <v>74</v>
      </c>
      <c r="C75" s="13"/>
      <c r="D75" s="11"/>
      <c r="E75" s="11"/>
      <c r="F75" s="12">
        <f>SUM(F76:F93)</f>
        <v>0</v>
      </c>
      <c r="G75" s="92"/>
      <c r="H75" s="11"/>
      <c r="I75" s="11"/>
      <c r="J75" s="11"/>
      <c r="K75" s="11"/>
      <c r="L75" s="13"/>
      <c r="M75" s="13"/>
      <c r="N75" s="13"/>
      <c r="O75" s="11"/>
    </row>
    <row r="76" spans="2:15">
      <c r="B76" s="14" t="s">
        <v>74</v>
      </c>
      <c r="C76" s="87" t="s">
        <v>39</v>
      </c>
      <c r="D76" s="84" t="s">
        <v>40</v>
      </c>
      <c r="E76" t="s">
        <v>75</v>
      </c>
      <c r="F76" s="10"/>
      <c r="G76" s="90"/>
    </row>
    <row r="77" spans="2:15">
      <c r="B77" s="14" t="s">
        <v>74</v>
      </c>
      <c r="C77" s="87" t="s">
        <v>39</v>
      </c>
      <c r="D77" s="84" t="s">
        <v>40</v>
      </c>
      <c r="E77" t="s">
        <v>76</v>
      </c>
      <c r="F77" s="10"/>
      <c r="G77" s="90"/>
    </row>
    <row r="78" spans="2:15">
      <c r="B78" s="14" t="s">
        <v>74</v>
      </c>
      <c r="C78" s="87" t="s">
        <v>39</v>
      </c>
      <c r="D78" s="84" t="s">
        <v>40</v>
      </c>
      <c r="E78" t="s">
        <v>77</v>
      </c>
      <c r="F78" s="10"/>
      <c r="G78" s="90"/>
    </row>
    <row r="79" spans="2:15">
      <c r="B79" s="14" t="s">
        <v>74</v>
      </c>
      <c r="C79" s="87" t="s">
        <v>39</v>
      </c>
      <c r="D79" s="84" t="s">
        <v>40</v>
      </c>
      <c r="E79" t="s">
        <v>78</v>
      </c>
      <c r="F79" s="10"/>
      <c r="G79" s="90"/>
    </row>
    <row r="80" spans="2:15">
      <c r="B80" s="14" t="s">
        <v>74</v>
      </c>
      <c r="F80" s="10"/>
      <c r="G80" s="90"/>
    </row>
    <row r="81" spans="2:15">
      <c r="B81" s="14" t="s">
        <v>74</v>
      </c>
      <c r="F81" s="10"/>
      <c r="G81" s="90"/>
    </row>
    <row r="82" spans="2:15">
      <c r="B82" s="14" t="s">
        <v>74</v>
      </c>
      <c r="C82" s="122" t="s">
        <v>53</v>
      </c>
      <c r="D82" s="123" t="s">
        <v>54</v>
      </c>
      <c r="E82" s="123" t="s">
        <v>75</v>
      </c>
      <c r="F82" s="10"/>
      <c r="G82" s="90"/>
    </row>
    <row r="83" spans="2:15">
      <c r="B83" s="14" t="s">
        <v>74</v>
      </c>
      <c r="C83" s="122" t="s">
        <v>53</v>
      </c>
      <c r="D83" s="123" t="s">
        <v>54</v>
      </c>
      <c r="E83" s="123" t="s">
        <v>76</v>
      </c>
      <c r="F83" s="10"/>
      <c r="G83" s="90"/>
    </row>
    <row r="84" spans="2:15">
      <c r="B84" s="14" t="s">
        <v>74</v>
      </c>
      <c r="C84" s="122" t="s">
        <v>53</v>
      </c>
      <c r="D84" s="123" t="s">
        <v>54</v>
      </c>
      <c r="E84" s="123" t="s">
        <v>77</v>
      </c>
      <c r="F84" s="10"/>
      <c r="G84" s="90"/>
    </row>
    <row r="85" spans="2:15">
      <c r="B85" s="14" t="s">
        <v>74</v>
      </c>
      <c r="C85" s="122" t="s">
        <v>53</v>
      </c>
      <c r="D85" s="123" t="s">
        <v>54</v>
      </c>
      <c r="E85" s="123" t="s">
        <v>78</v>
      </c>
      <c r="F85" s="10"/>
      <c r="G85" s="90"/>
    </row>
    <row r="86" spans="2:15">
      <c r="B86" s="14" t="s">
        <v>74</v>
      </c>
      <c r="C86" s="122" t="s">
        <v>59</v>
      </c>
      <c r="D86" s="123" t="s">
        <v>60</v>
      </c>
      <c r="E86" s="123" t="s">
        <v>75</v>
      </c>
      <c r="F86" s="10"/>
      <c r="G86" s="90"/>
    </row>
    <row r="87" spans="2:15">
      <c r="B87" s="14" t="s">
        <v>74</v>
      </c>
      <c r="C87" s="122" t="s">
        <v>59</v>
      </c>
      <c r="D87" s="123" t="s">
        <v>60</v>
      </c>
      <c r="E87" s="123" t="s">
        <v>76</v>
      </c>
      <c r="F87" s="10"/>
      <c r="G87" s="90"/>
    </row>
    <row r="88" spans="2:15">
      <c r="B88" s="14" t="s">
        <v>74</v>
      </c>
      <c r="C88" s="122" t="s">
        <v>59</v>
      </c>
      <c r="D88" s="123" t="s">
        <v>60</v>
      </c>
      <c r="E88" s="123" t="s">
        <v>77</v>
      </c>
      <c r="F88" s="10"/>
      <c r="G88" s="90"/>
    </row>
    <row r="89" spans="2:15">
      <c r="B89" s="14" t="s">
        <v>74</v>
      </c>
      <c r="C89" s="122" t="s">
        <v>59</v>
      </c>
      <c r="D89" s="123" t="s">
        <v>60</v>
      </c>
      <c r="E89" s="123" t="s">
        <v>78</v>
      </c>
      <c r="F89" s="10"/>
      <c r="G89" s="90"/>
    </row>
    <row r="90" spans="2:15">
      <c r="B90" s="14" t="s">
        <v>74</v>
      </c>
      <c r="F90" s="10"/>
      <c r="G90" s="90"/>
    </row>
    <row r="91" spans="2:15">
      <c r="B91" s="14" t="s">
        <v>74</v>
      </c>
      <c r="C91" s="87" t="s">
        <v>39</v>
      </c>
      <c r="D91" s="84" t="s">
        <v>40</v>
      </c>
      <c r="E91" t="s">
        <v>79</v>
      </c>
      <c r="F91" s="10"/>
      <c r="G91" s="90"/>
    </row>
    <row r="92" spans="2:15">
      <c r="B92" s="14" t="s">
        <v>74</v>
      </c>
      <c r="C92" s="122" t="s">
        <v>53</v>
      </c>
      <c r="D92" s="123" t="s">
        <v>54</v>
      </c>
      <c r="E92" s="123" t="s">
        <v>79</v>
      </c>
      <c r="F92" s="10"/>
      <c r="G92" s="90"/>
    </row>
    <row r="93" spans="2:15">
      <c r="B93" s="14" t="s">
        <v>74</v>
      </c>
      <c r="C93" s="122" t="s">
        <v>59</v>
      </c>
      <c r="D93" s="123" t="s">
        <v>60</v>
      </c>
      <c r="E93" s="123" t="s">
        <v>79</v>
      </c>
      <c r="F93" s="10"/>
      <c r="G93" s="90"/>
    </row>
    <row r="94" spans="2:15">
      <c r="B94" s="11" t="s">
        <v>80</v>
      </c>
      <c r="C94" s="13"/>
      <c r="D94" s="11"/>
      <c r="E94" s="11"/>
      <c r="F94" s="12">
        <f>SUM(F95:F107)</f>
        <v>42328.5</v>
      </c>
      <c r="G94" s="92"/>
      <c r="H94" s="11"/>
      <c r="I94" s="11"/>
      <c r="J94" s="11"/>
      <c r="K94" s="11"/>
      <c r="L94" s="13"/>
      <c r="M94" s="13"/>
      <c r="N94" s="13"/>
      <c r="O94" s="11"/>
    </row>
    <row r="95" spans="2:15">
      <c r="B95" s="14" t="s">
        <v>80</v>
      </c>
      <c r="C95" s="87" t="s">
        <v>39</v>
      </c>
      <c r="D95" s="84" t="s">
        <v>40</v>
      </c>
      <c r="E95" t="s">
        <v>81</v>
      </c>
      <c r="F95" s="10">
        <f>12800*0.7</f>
        <v>8960</v>
      </c>
      <c r="G95" s="90"/>
    </row>
    <row r="96" spans="2:15">
      <c r="B96" s="14" t="s">
        <v>80</v>
      </c>
      <c r="C96" s="87" t="s">
        <v>39</v>
      </c>
      <c r="D96" s="84" t="s">
        <v>40</v>
      </c>
      <c r="E96" t="s">
        <v>82</v>
      </c>
      <c r="F96" s="10">
        <f>39955*0.7</f>
        <v>27968.5</v>
      </c>
      <c r="G96" s="90"/>
    </row>
    <row r="97" spans="2:7">
      <c r="B97" s="14" t="s">
        <v>80</v>
      </c>
      <c r="C97" s="87" t="s">
        <v>39</v>
      </c>
      <c r="D97" s="84" t="s">
        <v>40</v>
      </c>
      <c r="E97" t="s">
        <v>83</v>
      </c>
      <c r="F97" s="10">
        <v>5400</v>
      </c>
      <c r="G97" s="90"/>
    </row>
    <row r="98" spans="2:7">
      <c r="B98" s="14" t="s">
        <v>80</v>
      </c>
      <c r="F98" s="10"/>
      <c r="G98" s="90"/>
    </row>
    <row r="99" spans="2:7">
      <c r="B99" s="14" t="s">
        <v>80</v>
      </c>
      <c r="F99" s="10"/>
      <c r="G99" s="90"/>
    </row>
    <row r="100" spans="2:7">
      <c r="B100" s="14" t="s">
        <v>80</v>
      </c>
      <c r="F100" s="10"/>
      <c r="G100" s="90"/>
    </row>
    <row r="101" spans="2:7">
      <c r="B101" s="14" t="s">
        <v>80</v>
      </c>
      <c r="C101" s="87" t="s">
        <v>39</v>
      </c>
      <c r="D101" s="84" t="s">
        <v>40</v>
      </c>
      <c r="E101" t="s">
        <v>84</v>
      </c>
      <c r="F101" s="10"/>
      <c r="G101" s="90"/>
    </row>
    <row r="102" spans="2:7">
      <c r="B102" s="14" t="s">
        <v>80</v>
      </c>
      <c r="C102" s="87" t="s">
        <v>39</v>
      </c>
      <c r="D102" s="84" t="s">
        <v>40</v>
      </c>
      <c r="E102" t="s">
        <v>85</v>
      </c>
      <c r="F102" s="10"/>
      <c r="G102" s="90"/>
    </row>
    <row r="103" spans="2:7">
      <c r="B103" s="14" t="s">
        <v>80</v>
      </c>
      <c r="F103" s="10"/>
      <c r="G103" s="90"/>
    </row>
    <row r="104" spans="2:7">
      <c r="B104" s="14" t="s">
        <v>80</v>
      </c>
      <c r="F104" s="10"/>
      <c r="G104" s="90"/>
    </row>
    <row r="105" spans="2:7">
      <c r="B105" s="14" t="s">
        <v>80</v>
      </c>
      <c r="F105" s="10"/>
      <c r="G105" s="90"/>
    </row>
    <row r="106" spans="2:7">
      <c r="B106" s="14" t="s">
        <v>80</v>
      </c>
      <c r="F106" s="10"/>
      <c r="G106" s="90"/>
    </row>
    <row r="107" spans="2:7">
      <c r="B107" s="14" t="s">
        <v>80</v>
      </c>
      <c r="F107" s="10"/>
      <c r="G107" s="90"/>
    </row>
    <row r="108" spans="2:7">
      <c r="B108" s="14"/>
      <c r="F108" s="10"/>
      <c r="G108" s="90"/>
    </row>
    <row r="109" spans="2:7">
      <c r="B109" s="14"/>
      <c r="F109" s="10"/>
      <c r="G109" s="90"/>
    </row>
    <row r="110" spans="2:7">
      <c r="B110" s="14"/>
      <c r="F110" s="10"/>
      <c r="G110" s="90"/>
    </row>
    <row r="111" spans="2:7">
      <c r="B111" s="14"/>
      <c r="F111" s="10"/>
      <c r="G111" s="90"/>
    </row>
    <row r="112" spans="2:7">
      <c r="B112" s="14"/>
      <c r="F112" s="10"/>
      <c r="G112" s="90"/>
    </row>
    <row r="113" spans="2:7">
      <c r="B113" s="14"/>
      <c r="F113" s="10"/>
      <c r="G113" s="90"/>
    </row>
    <row r="114" spans="2:7">
      <c r="B114" s="14"/>
      <c r="F114" s="10"/>
      <c r="G114" s="90"/>
    </row>
    <row r="115" spans="2:7">
      <c r="B115" s="14"/>
      <c r="F115" s="10"/>
      <c r="G115" s="90"/>
    </row>
    <row r="116" spans="2:7">
      <c r="B116" s="14"/>
      <c r="F116" s="10"/>
      <c r="G116" s="91"/>
    </row>
    <row r="117" spans="2:7">
      <c r="B117" s="14"/>
      <c r="F117" s="10"/>
      <c r="G117" s="91"/>
    </row>
    <row r="118" spans="2:7">
      <c r="F118" s="10"/>
      <c r="G118" s="91"/>
    </row>
    <row r="119" spans="2:7">
      <c r="F119" s="10"/>
      <c r="G119" s="91"/>
    </row>
    <row r="120" spans="2:7">
      <c r="F120" s="10"/>
      <c r="G120" s="91"/>
    </row>
    <row r="121" spans="2:7">
      <c r="F121" s="10"/>
      <c r="G121" s="91"/>
    </row>
    <row r="122" spans="2:7">
      <c r="F122" s="10"/>
      <c r="G122" s="91"/>
    </row>
    <row r="123" spans="2:7">
      <c r="F123" s="10"/>
      <c r="G123" s="91"/>
    </row>
    <row r="124" spans="2:7">
      <c r="F124" s="10"/>
      <c r="G124" s="10"/>
    </row>
    <row r="125" spans="2:7">
      <c r="F125" s="10"/>
      <c r="G125" s="10"/>
    </row>
    <row r="126" spans="2:7">
      <c r="F126" s="10"/>
      <c r="G126" s="10"/>
    </row>
    <row r="127" spans="2:7">
      <c r="F127" s="10"/>
      <c r="G127" s="10"/>
    </row>
  </sheetData>
  <phoneticPr fontId="3" type="noConversion"/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FAD9CBE-E005-4E0D-90A3-79FA4C414D8D}">
          <x14:formula1>
            <xm:f>Dropdown!$F$4:$F$7</xm:f>
          </x14:formula1>
          <xm:sqref>C46:C79 C82:C89 C6:C27 C30:C42 C91:C107</xm:sqref>
        </x14:dataValidation>
        <x14:dataValidation type="list" allowBlank="1" showInputMessage="1" showErrorMessage="1" xr:uid="{3AC3E798-F2AC-4D9C-B0F5-EBD493E3B945}">
          <x14:formula1>
            <xm:f>Dropdown!$I$4:$I$8</xm:f>
          </x14:formula1>
          <xm:sqref>D46:D79 D82:D89 D6:D27 D30:D42 D91:D107</xm:sqref>
        </x14:dataValidation>
        <x14:dataValidation type="list" allowBlank="1" showInputMessage="1" showErrorMessage="1" xr:uid="{2530BC9A-6B03-4E45-BFC0-4BA4EE0DE161}">
          <x14:formula1>
            <xm:f>Dropdown!$D$4:$D$13</xm:f>
          </x14:formula1>
          <xm:sqref>L6:L107</xm:sqref>
        </x14:dataValidation>
        <x14:dataValidation type="list" allowBlank="1" showInputMessage="1" showErrorMessage="1" xr:uid="{CFCD0587-2D15-48FD-BA0C-6D2B94079E06}">
          <x14:formula1>
            <xm:f>Dropdown!$B$4:$B$9</xm:f>
          </x14:formula1>
          <xm:sqref>H6:H27 H30:H42 H46:H107</xm:sqref>
        </x14:dataValidation>
        <x14:dataValidation type="list" allowBlank="1" showInputMessage="1" showErrorMessage="1" xr:uid="{A18A7D50-A1C8-4635-B033-877A42DFE8DF}">
          <x14:formula1>
            <xm:f>Dropdown!$B$23:$B$27</xm:f>
          </x14:formula1>
          <xm:sqref>I6:I27 I30:I42 I46:I107</xm:sqref>
        </x14:dataValidation>
        <x14:dataValidation type="list" allowBlank="1" showInputMessage="1" showErrorMessage="1" xr:uid="{FF86D98B-CF29-4EE7-8280-BA3D985A2074}">
          <x14:formula1>
            <xm:f>Dropdown!$J$4:$J$26</xm:f>
          </x14:formula1>
          <xm:sqref>G6:G27 G30:G42 G46:G107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D78F-2E67-42D6-830E-83B72C8571E6}">
  <dimension ref="A1:S120"/>
  <sheetViews>
    <sheetView zoomScale="41" workbookViewId="0">
      <pane xSplit="1" ySplit="5" topLeftCell="B22" activePane="bottomRight" state="frozen"/>
      <selection pane="bottomRight" activeCell="F6" sqref="F6"/>
      <selection pane="bottomLeft" activeCell="A6" sqref="A6"/>
      <selection pane="topRight" activeCell="B1" sqref="B1"/>
    </sheetView>
  </sheetViews>
  <sheetFormatPr defaultColWidth="11.42578125" defaultRowHeight="14.45"/>
  <cols>
    <col min="1" max="1" width="11.42578125" style="3"/>
    <col min="2" max="2" width="32.7109375" customWidth="1"/>
    <col min="3" max="3" width="16.85546875" style="9" customWidth="1"/>
    <col min="4" max="4" width="15.7109375" customWidth="1"/>
    <col min="5" max="5" width="57.85546875" customWidth="1"/>
    <col min="6" max="6" width="16.85546875" style="9" customWidth="1"/>
    <col min="7" max="7" width="21.28515625" style="9" customWidth="1"/>
    <col min="8" max="9" width="23.7109375" customWidth="1"/>
    <col min="10" max="11" width="42.140625" customWidth="1"/>
    <col min="12" max="12" width="34" style="9" customWidth="1"/>
    <col min="13" max="13" width="26.28515625" style="9" customWidth="1"/>
    <col min="14" max="14" width="53.7109375" customWidth="1"/>
    <col min="15" max="19" width="11.42578125" style="3"/>
  </cols>
  <sheetData>
    <row r="1" spans="2:14" s="3" customFormat="1">
      <c r="C1" s="7"/>
      <c r="F1" s="7"/>
      <c r="G1" s="7"/>
      <c r="L1" s="7"/>
      <c r="M1" s="7"/>
    </row>
    <row r="2" spans="2:14" s="3" customFormat="1" ht="18.600000000000001">
      <c r="B2" s="5" t="s">
        <v>19</v>
      </c>
      <c r="C2" s="85"/>
      <c r="D2" s="5"/>
      <c r="E2" s="97" t="s">
        <v>20</v>
      </c>
      <c r="F2" s="99">
        <f>F3-F4</f>
        <v>723314</v>
      </c>
      <c r="G2" s="7"/>
      <c r="L2" s="7"/>
      <c r="M2" s="7"/>
    </row>
    <row r="3" spans="2:14" s="3" customFormat="1">
      <c r="B3" s="4" t="s">
        <v>21</v>
      </c>
      <c r="C3" s="86"/>
      <c r="D3" s="4"/>
      <c r="E3" s="96" t="s">
        <v>22</v>
      </c>
      <c r="F3" s="98">
        <f>('BudgetTemplate19.02.2026'!M28+'BudgetTemplate19.02.2026'!M29+'BudgetTemplate19.02.2026'!M30+'BudgetTemplate19.02.2026'!M34)*0.85</f>
        <v>769250</v>
      </c>
      <c r="G3" s="7"/>
      <c r="L3" s="7"/>
      <c r="M3" s="7"/>
    </row>
    <row r="4" spans="2:14" s="3" customFormat="1" ht="36" customHeight="1">
      <c r="C4" s="7"/>
      <c r="E4" s="94" t="s">
        <v>23</v>
      </c>
      <c r="F4" s="95">
        <f>SUM(F6+F22+F38+F54+F65+F76+F87)</f>
        <v>45936</v>
      </c>
      <c r="G4" s="7"/>
      <c r="L4" s="7"/>
      <c r="M4" s="7"/>
    </row>
    <row r="5" spans="2:14" s="15" customFormat="1" ht="27.75" customHeight="1">
      <c r="B5" s="15" t="s">
        <v>24</v>
      </c>
      <c r="C5" s="16" t="s">
        <v>25</v>
      </c>
      <c r="D5" s="15" t="s">
        <v>26</v>
      </c>
      <c r="E5" s="15" t="s">
        <v>27</v>
      </c>
      <c r="F5" s="16" t="s">
        <v>28</v>
      </c>
      <c r="G5" s="16" t="s">
        <v>29</v>
      </c>
      <c r="H5" s="15" t="s">
        <v>30</v>
      </c>
      <c r="I5" s="15" t="s">
        <v>31</v>
      </c>
      <c r="J5" s="15" t="s">
        <v>32</v>
      </c>
      <c r="K5" s="15" t="s">
        <v>33</v>
      </c>
      <c r="L5" s="16" t="s">
        <v>34</v>
      </c>
      <c r="M5" s="16" t="s">
        <v>35</v>
      </c>
      <c r="N5" s="15" t="s">
        <v>37</v>
      </c>
    </row>
    <row r="6" spans="2:14">
      <c r="B6" s="11" t="s">
        <v>86</v>
      </c>
      <c r="C6" s="13"/>
      <c r="D6" s="11"/>
      <c r="E6" s="11"/>
      <c r="F6" s="12">
        <f>SUM(F7:F21)</f>
        <v>45936</v>
      </c>
      <c r="G6" s="12"/>
      <c r="H6" s="11"/>
      <c r="I6" s="11"/>
      <c r="J6" s="11"/>
      <c r="K6" s="11"/>
      <c r="L6" s="13"/>
      <c r="M6" s="13"/>
      <c r="N6" s="11"/>
    </row>
    <row r="7" spans="2:14">
      <c r="B7" s="14" t="s">
        <v>86</v>
      </c>
      <c r="C7" s="87" t="s">
        <v>39</v>
      </c>
      <c r="D7" s="84" t="s">
        <v>40</v>
      </c>
      <c r="E7" s="84" t="s">
        <v>87</v>
      </c>
      <c r="F7" s="10">
        <v>45936</v>
      </c>
      <c r="G7" s="90"/>
    </row>
    <row r="8" spans="2:14">
      <c r="B8" s="14"/>
      <c r="C8" s="87"/>
      <c r="D8" s="84"/>
      <c r="F8" s="10"/>
      <c r="G8" s="90"/>
    </row>
    <row r="9" spans="2:14">
      <c r="B9" s="14"/>
      <c r="C9" s="88"/>
      <c r="D9" s="14"/>
      <c r="F9" s="10"/>
      <c r="G9" s="90"/>
    </row>
    <row r="10" spans="2:14">
      <c r="B10" s="14"/>
      <c r="C10" s="88"/>
      <c r="D10" s="14"/>
      <c r="F10" s="10"/>
      <c r="G10" s="90"/>
    </row>
    <row r="11" spans="2:14">
      <c r="B11" s="14"/>
      <c r="C11" s="88"/>
      <c r="D11" s="14"/>
      <c r="F11" s="10"/>
      <c r="G11" s="90"/>
    </row>
    <row r="12" spans="2:14">
      <c r="B12" s="14"/>
      <c r="C12" s="88"/>
      <c r="D12" s="14"/>
      <c r="F12" s="10"/>
      <c r="G12" s="90"/>
    </row>
    <row r="13" spans="2:14">
      <c r="B13" s="14"/>
      <c r="C13" s="88"/>
      <c r="D13" s="14"/>
      <c r="F13" s="10"/>
      <c r="G13" s="90"/>
    </row>
    <row r="14" spans="2:14">
      <c r="B14" s="14"/>
      <c r="C14" s="88"/>
      <c r="D14" s="14"/>
      <c r="F14" s="10"/>
      <c r="G14" s="90"/>
    </row>
    <row r="15" spans="2:14">
      <c r="B15" s="14"/>
      <c r="C15" s="88"/>
      <c r="D15" s="14"/>
      <c r="F15" s="10"/>
      <c r="G15" s="90"/>
    </row>
    <row r="16" spans="2:14">
      <c r="B16" s="14"/>
      <c r="C16" s="88"/>
      <c r="D16" s="14"/>
      <c r="F16" s="10"/>
      <c r="G16" s="90"/>
    </row>
    <row r="17" spans="2:14">
      <c r="B17" s="14"/>
      <c r="C17" s="88"/>
      <c r="D17" s="14"/>
      <c r="F17" s="10"/>
      <c r="G17" s="90"/>
    </row>
    <row r="18" spans="2:14">
      <c r="B18" s="14"/>
      <c r="C18" s="88"/>
      <c r="D18" s="14"/>
      <c r="F18" s="10"/>
      <c r="G18" s="90"/>
    </row>
    <row r="19" spans="2:14">
      <c r="B19" s="14"/>
      <c r="C19" s="88"/>
      <c r="D19" s="14"/>
      <c r="F19" s="10"/>
      <c r="G19" s="90"/>
    </row>
    <row r="20" spans="2:14">
      <c r="B20" s="14"/>
      <c r="C20" s="88"/>
      <c r="D20" s="14"/>
      <c r="F20" s="10"/>
      <c r="G20" s="90"/>
    </row>
    <row r="21" spans="2:14">
      <c r="B21" s="14"/>
      <c r="C21" s="88"/>
      <c r="D21" s="14"/>
      <c r="F21" s="10"/>
      <c r="G21" s="90"/>
    </row>
    <row r="22" spans="2:14">
      <c r="B22" s="11" t="s">
        <v>88</v>
      </c>
      <c r="C22" s="13"/>
      <c r="D22" s="11"/>
      <c r="E22" s="11"/>
      <c r="F22" s="12">
        <f>SUM(F23:F37)</f>
        <v>0</v>
      </c>
      <c r="G22" s="92"/>
      <c r="H22" s="11"/>
      <c r="I22" s="11"/>
      <c r="J22" s="11"/>
      <c r="K22" s="11"/>
      <c r="L22" s="13"/>
      <c r="M22" s="13"/>
      <c r="N22" s="11"/>
    </row>
    <row r="23" spans="2:14">
      <c r="B23" s="14"/>
      <c r="C23" s="87"/>
      <c r="D23" s="84"/>
      <c r="E23" s="84"/>
      <c r="F23" s="10"/>
      <c r="G23" s="90"/>
    </row>
    <row r="24" spans="2:14">
      <c r="B24" s="14"/>
      <c r="C24" s="88"/>
      <c r="D24" s="14"/>
      <c r="F24" s="10"/>
      <c r="G24" s="90"/>
    </row>
    <row r="25" spans="2:14">
      <c r="B25" s="14"/>
      <c r="C25" s="88"/>
      <c r="D25" s="14"/>
      <c r="F25" s="10"/>
      <c r="G25" s="90"/>
    </row>
    <row r="26" spans="2:14">
      <c r="B26" s="14"/>
      <c r="C26" s="88"/>
      <c r="D26" s="14"/>
      <c r="F26" s="10"/>
      <c r="G26" s="90"/>
    </row>
    <row r="27" spans="2:14">
      <c r="B27" s="14"/>
      <c r="C27" s="88"/>
      <c r="D27" s="14"/>
      <c r="F27" s="10"/>
      <c r="G27" s="90"/>
    </row>
    <row r="28" spans="2:14">
      <c r="B28" s="14"/>
      <c r="C28" s="88"/>
      <c r="D28" s="14"/>
      <c r="F28" s="10"/>
      <c r="G28" s="90"/>
    </row>
    <row r="29" spans="2:14">
      <c r="B29" s="14"/>
      <c r="C29" s="88"/>
      <c r="D29" s="14"/>
      <c r="F29" s="10"/>
      <c r="G29" s="90"/>
    </row>
    <row r="30" spans="2:14">
      <c r="B30" s="14"/>
      <c r="C30" s="88"/>
      <c r="D30" s="14"/>
      <c r="F30" s="10"/>
      <c r="G30" s="90"/>
    </row>
    <row r="31" spans="2:14">
      <c r="B31" s="14"/>
      <c r="C31" s="88"/>
      <c r="D31" s="14"/>
      <c r="F31" s="10"/>
      <c r="G31" s="90"/>
    </row>
    <row r="32" spans="2:14">
      <c r="B32" s="14"/>
      <c r="C32" s="88"/>
      <c r="D32" s="14"/>
      <c r="F32" s="10"/>
      <c r="G32" s="90"/>
    </row>
    <row r="33" spans="2:14">
      <c r="B33" s="14"/>
      <c r="C33" s="88"/>
      <c r="D33" s="14"/>
      <c r="F33" s="10"/>
      <c r="G33" s="90"/>
    </row>
    <row r="34" spans="2:14">
      <c r="B34" s="14"/>
      <c r="C34" s="88"/>
      <c r="D34" s="14"/>
      <c r="F34" s="10"/>
      <c r="G34" s="90"/>
    </row>
    <row r="35" spans="2:14">
      <c r="B35" s="14"/>
      <c r="C35" s="88"/>
      <c r="D35" s="14"/>
      <c r="F35" s="10"/>
      <c r="G35" s="90"/>
    </row>
    <row r="36" spans="2:14">
      <c r="B36" s="14"/>
      <c r="C36" s="88"/>
      <c r="D36" s="14"/>
      <c r="F36" s="10"/>
      <c r="G36" s="90"/>
    </row>
    <row r="37" spans="2:14">
      <c r="B37" s="14"/>
      <c r="C37" s="88"/>
      <c r="D37" s="14"/>
      <c r="F37" s="10"/>
      <c r="G37" s="90"/>
    </row>
    <row r="38" spans="2:14">
      <c r="B38" s="11" t="s">
        <v>89</v>
      </c>
      <c r="C38" s="13"/>
      <c r="D38" s="11"/>
      <c r="E38" s="11"/>
      <c r="F38" s="12">
        <f>SUM(F39:F53)</f>
        <v>0</v>
      </c>
      <c r="G38" s="92"/>
      <c r="H38" s="11"/>
      <c r="I38" s="11"/>
      <c r="J38" s="11"/>
      <c r="K38" s="11"/>
      <c r="L38" s="13"/>
      <c r="M38" s="13"/>
      <c r="N38" s="11"/>
    </row>
    <row r="39" spans="2:14">
      <c r="B39" s="14"/>
      <c r="C39" s="88"/>
      <c r="D39" s="14"/>
      <c r="F39" s="10"/>
      <c r="G39" s="90"/>
    </row>
    <row r="40" spans="2:14">
      <c r="B40" s="14"/>
      <c r="C40" s="88"/>
      <c r="D40" s="14"/>
      <c r="F40" s="10"/>
      <c r="G40" s="90"/>
    </row>
    <row r="41" spans="2:14">
      <c r="B41" s="14"/>
      <c r="C41" s="88"/>
      <c r="D41" s="14"/>
      <c r="F41" s="10"/>
      <c r="G41" s="90"/>
    </row>
    <row r="42" spans="2:14">
      <c r="B42" s="14"/>
      <c r="C42" s="88"/>
      <c r="D42" s="14"/>
      <c r="F42" s="10"/>
      <c r="G42" s="90"/>
    </row>
    <row r="43" spans="2:14">
      <c r="B43" s="14"/>
      <c r="C43" s="88"/>
      <c r="D43" s="14"/>
      <c r="F43" s="10"/>
      <c r="G43" s="90"/>
    </row>
    <row r="44" spans="2:14">
      <c r="B44" s="14"/>
      <c r="C44" s="88"/>
      <c r="D44" s="14"/>
      <c r="F44" s="10"/>
      <c r="G44" s="90"/>
    </row>
    <row r="45" spans="2:14">
      <c r="B45" s="14"/>
      <c r="C45" s="88"/>
      <c r="D45" s="14"/>
      <c r="F45" s="10"/>
      <c r="G45" s="90"/>
    </row>
    <row r="46" spans="2:14">
      <c r="B46" s="14"/>
      <c r="C46" s="88"/>
      <c r="D46" s="14"/>
      <c r="F46" s="10"/>
      <c r="G46" s="90"/>
    </row>
    <row r="47" spans="2:14">
      <c r="B47" s="14"/>
      <c r="C47" s="88"/>
      <c r="D47" s="14"/>
      <c r="F47" s="10"/>
      <c r="G47" s="90"/>
    </row>
    <row r="48" spans="2:14">
      <c r="B48" s="14"/>
      <c r="C48" s="88"/>
      <c r="D48" s="14"/>
      <c r="F48" s="10"/>
      <c r="G48" s="90"/>
    </row>
    <row r="49" spans="2:14">
      <c r="B49" s="14"/>
      <c r="C49" s="88"/>
      <c r="D49" s="14"/>
      <c r="F49" s="10"/>
      <c r="G49" s="90"/>
    </row>
    <row r="50" spans="2:14">
      <c r="B50" s="14"/>
      <c r="C50" s="88"/>
      <c r="D50" s="14"/>
      <c r="F50" s="10"/>
      <c r="G50" s="90"/>
    </row>
    <row r="51" spans="2:14">
      <c r="B51" s="14"/>
      <c r="C51" s="88"/>
      <c r="D51" s="14"/>
      <c r="F51" s="10"/>
      <c r="G51" s="90"/>
    </row>
    <row r="52" spans="2:14">
      <c r="B52" s="14"/>
      <c r="C52" s="88"/>
      <c r="D52" s="14"/>
      <c r="F52" s="10"/>
      <c r="G52" s="90"/>
    </row>
    <row r="53" spans="2:14">
      <c r="B53" s="14"/>
      <c r="C53" s="88"/>
      <c r="D53" s="14"/>
      <c r="F53" s="10"/>
      <c r="G53" s="90"/>
    </row>
    <row r="54" spans="2:14">
      <c r="B54" s="11" t="s">
        <v>90</v>
      </c>
      <c r="C54" s="13"/>
      <c r="D54" s="11"/>
      <c r="E54" s="11"/>
      <c r="F54" s="12">
        <f>SUM(F55:F64)</f>
        <v>0</v>
      </c>
      <c r="G54" s="92"/>
      <c r="H54" s="11"/>
      <c r="I54" s="11"/>
      <c r="J54" s="11"/>
      <c r="K54" s="11"/>
      <c r="L54" s="13"/>
      <c r="M54" s="13"/>
      <c r="N54" s="11"/>
    </row>
    <row r="55" spans="2:14">
      <c r="B55" s="14"/>
      <c r="C55" s="88"/>
      <c r="D55" s="14"/>
      <c r="F55" s="10"/>
      <c r="G55" s="90"/>
    </row>
    <row r="56" spans="2:14">
      <c r="B56" s="14"/>
      <c r="C56" s="88"/>
      <c r="D56" s="14"/>
      <c r="F56" s="10"/>
      <c r="G56" s="90"/>
    </row>
    <row r="57" spans="2:14">
      <c r="B57" s="14"/>
      <c r="C57" s="88"/>
      <c r="D57" s="14"/>
      <c r="F57" s="10"/>
      <c r="G57" s="90"/>
    </row>
    <row r="58" spans="2:14">
      <c r="B58" s="14"/>
      <c r="C58" s="88"/>
      <c r="D58" s="14"/>
      <c r="F58" s="10"/>
      <c r="G58" s="90"/>
    </row>
    <row r="59" spans="2:14">
      <c r="B59" s="14"/>
      <c r="C59" s="88"/>
      <c r="D59" s="14"/>
      <c r="F59" s="10"/>
      <c r="G59" s="90"/>
    </row>
    <row r="60" spans="2:14">
      <c r="B60" s="14"/>
      <c r="C60" s="88"/>
      <c r="D60" s="14"/>
      <c r="F60" s="10"/>
      <c r="G60" s="90"/>
    </row>
    <row r="61" spans="2:14">
      <c r="B61" s="14"/>
      <c r="C61" s="88"/>
      <c r="D61" s="14"/>
      <c r="F61" s="10"/>
      <c r="G61" s="90"/>
    </row>
    <row r="62" spans="2:14">
      <c r="B62" s="14"/>
      <c r="C62" s="88"/>
      <c r="D62" s="14"/>
      <c r="F62" s="10"/>
      <c r="G62" s="90"/>
    </row>
    <row r="63" spans="2:14">
      <c r="B63" s="14"/>
      <c r="C63" s="88"/>
      <c r="D63" s="14"/>
      <c r="F63" s="10"/>
      <c r="G63" s="90"/>
    </row>
    <row r="64" spans="2:14">
      <c r="B64" s="14"/>
      <c r="C64" s="88"/>
      <c r="D64" s="14"/>
      <c r="F64" s="10"/>
      <c r="G64" s="90"/>
    </row>
    <row r="65" spans="2:14">
      <c r="B65" s="11" t="s">
        <v>91</v>
      </c>
      <c r="C65" s="13"/>
      <c r="D65" s="11"/>
      <c r="E65" s="11"/>
      <c r="F65" s="12">
        <f>SUM(F66:F75)</f>
        <v>0</v>
      </c>
      <c r="G65" s="92"/>
      <c r="H65" s="11"/>
      <c r="I65" s="11"/>
      <c r="J65" s="11"/>
      <c r="K65" s="11"/>
      <c r="L65" s="13"/>
      <c r="M65" s="13"/>
      <c r="N65" s="11"/>
    </row>
    <row r="66" spans="2:14">
      <c r="B66" s="14"/>
      <c r="C66" s="88"/>
      <c r="D66" s="14"/>
      <c r="F66" s="10"/>
      <c r="G66" s="90"/>
    </row>
    <row r="67" spans="2:14">
      <c r="B67" s="14"/>
      <c r="C67" s="88"/>
      <c r="D67" s="14"/>
      <c r="F67" s="10"/>
      <c r="G67" s="90"/>
    </row>
    <row r="68" spans="2:14">
      <c r="B68" s="14"/>
      <c r="C68" s="88"/>
      <c r="D68" s="14"/>
      <c r="F68" s="10"/>
      <c r="G68" s="90"/>
    </row>
    <row r="69" spans="2:14">
      <c r="B69" s="14"/>
      <c r="C69" s="88"/>
      <c r="D69" s="14"/>
      <c r="F69" s="10"/>
      <c r="G69" s="90"/>
    </row>
    <row r="70" spans="2:14">
      <c r="B70" s="14"/>
      <c r="C70" s="88"/>
      <c r="D70" s="14"/>
      <c r="F70" s="10"/>
      <c r="G70" s="90"/>
    </row>
    <row r="71" spans="2:14">
      <c r="B71" s="14"/>
      <c r="C71" s="88"/>
      <c r="D71" s="14"/>
      <c r="F71" s="10"/>
      <c r="G71" s="90"/>
    </row>
    <row r="72" spans="2:14">
      <c r="B72" s="14"/>
      <c r="C72" s="88"/>
      <c r="D72" s="14"/>
      <c r="F72" s="10"/>
      <c r="G72" s="90"/>
    </row>
    <row r="73" spans="2:14">
      <c r="B73" s="14"/>
      <c r="C73" s="88"/>
      <c r="D73" s="14"/>
      <c r="F73" s="10"/>
      <c r="G73" s="90"/>
    </row>
    <row r="74" spans="2:14">
      <c r="B74" s="14"/>
      <c r="C74" s="88"/>
      <c r="D74" s="14"/>
      <c r="F74" s="10"/>
      <c r="G74" s="90"/>
    </row>
    <row r="75" spans="2:14">
      <c r="B75" s="14"/>
      <c r="C75" s="88"/>
      <c r="D75" s="14"/>
      <c r="F75" s="10"/>
      <c r="G75" s="90"/>
    </row>
    <row r="76" spans="2:14">
      <c r="B76" s="11"/>
      <c r="C76" s="13"/>
      <c r="D76" s="11"/>
      <c r="E76" s="11"/>
      <c r="F76" s="12"/>
      <c r="G76" s="92"/>
      <c r="H76" s="11"/>
      <c r="I76" s="11"/>
      <c r="J76" s="11"/>
      <c r="K76" s="11"/>
      <c r="L76" s="13"/>
      <c r="M76" s="13"/>
      <c r="N76" s="11"/>
    </row>
    <row r="77" spans="2:14">
      <c r="B77" s="14"/>
      <c r="C77" s="88"/>
      <c r="D77" s="14"/>
      <c r="F77" s="10"/>
      <c r="G77" s="90"/>
    </row>
    <row r="78" spans="2:14">
      <c r="B78" s="14"/>
      <c r="C78" s="88"/>
      <c r="D78" s="14"/>
      <c r="F78" s="10"/>
      <c r="G78" s="90"/>
    </row>
    <row r="79" spans="2:14">
      <c r="B79" s="14"/>
      <c r="C79" s="88"/>
      <c r="D79" s="14"/>
      <c r="F79" s="10"/>
      <c r="G79" s="90"/>
    </row>
    <row r="80" spans="2:14">
      <c r="B80" s="14"/>
      <c r="C80" s="88"/>
      <c r="D80" s="14"/>
      <c r="F80" s="10"/>
      <c r="G80" s="90"/>
    </row>
    <row r="81" spans="2:14">
      <c r="B81" s="14"/>
      <c r="C81" s="88"/>
      <c r="D81" s="14"/>
      <c r="E81" s="84"/>
      <c r="F81" s="10"/>
      <c r="G81" s="90"/>
    </row>
    <row r="82" spans="2:14">
      <c r="B82" s="14"/>
      <c r="C82" s="88"/>
      <c r="D82" s="14"/>
      <c r="E82" s="84"/>
      <c r="F82" s="10"/>
      <c r="G82" s="90"/>
    </row>
    <row r="83" spans="2:14">
      <c r="B83" s="14"/>
      <c r="C83" s="88"/>
      <c r="D83" s="14"/>
      <c r="F83" s="10"/>
      <c r="G83" s="90"/>
    </row>
    <row r="84" spans="2:14">
      <c r="B84" s="14"/>
      <c r="C84" s="88"/>
      <c r="D84" s="14"/>
      <c r="F84" s="10"/>
      <c r="G84" s="90"/>
    </row>
    <row r="85" spans="2:14">
      <c r="B85" s="14"/>
      <c r="C85" s="88"/>
      <c r="D85" s="14"/>
      <c r="F85" s="10"/>
      <c r="G85" s="90"/>
    </row>
    <row r="86" spans="2:14">
      <c r="B86" s="14"/>
      <c r="C86" s="88"/>
      <c r="D86" s="14"/>
      <c r="F86" s="10"/>
      <c r="G86" s="90"/>
    </row>
    <row r="87" spans="2:14">
      <c r="B87" s="11"/>
      <c r="C87" s="13"/>
      <c r="D87" s="11"/>
      <c r="E87" s="11"/>
      <c r="F87" s="12"/>
      <c r="G87" s="92"/>
      <c r="H87" s="11"/>
      <c r="I87" s="11"/>
      <c r="J87" s="11"/>
      <c r="K87" s="11"/>
      <c r="L87" s="13"/>
      <c r="M87" s="13"/>
      <c r="N87" s="11"/>
    </row>
    <row r="88" spans="2:14">
      <c r="B88" s="14"/>
      <c r="F88" s="10"/>
      <c r="G88" s="90"/>
    </row>
    <row r="89" spans="2:14">
      <c r="B89" s="14"/>
      <c r="F89" s="10"/>
      <c r="G89" s="90"/>
    </row>
    <row r="90" spans="2:14">
      <c r="B90" s="14"/>
      <c r="F90" s="10"/>
      <c r="G90" s="90"/>
    </row>
    <row r="91" spans="2:14">
      <c r="B91" s="14"/>
      <c r="F91" s="10"/>
      <c r="G91" s="90"/>
    </row>
    <row r="92" spans="2:14">
      <c r="B92" s="14"/>
      <c r="F92" s="10"/>
      <c r="G92" s="90"/>
    </row>
    <row r="93" spans="2:14">
      <c r="B93" s="14"/>
      <c r="F93" s="10"/>
      <c r="G93" s="90"/>
    </row>
    <row r="94" spans="2:14">
      <c r="B94" s="14"/>
      <c r="F94" s="10"/>
      <c r="G94" s="90"/>
    </row>
    <row r="95" spans="2:14">
      <c r="B95" s="14"/>
      <c r="F95" s="10"/>
      <c r="G95" s="90"/>
    </row>
    <row r="96" spans="2:14">
      <c r="B96" s="14"/>
      <c r="F96" s="10"/>
      <c r="G96" s="90"/>
    </row>
    <row r="97" spans="2:7">
      <c r="B97" s="14"/>
      <c r="F97" s="10"/>
      <c r="G97" s="90"/>
    </row>
    <row r="98" spans="2:7">
      <c r="B98" s="14"/>
      <c r="F98" s="10"/>
      <c r="G98" s="90"/>
    </row>
    <row r="99" spans="2:7">
      <c r="B99" s="14"/>
      <c r="F99" s="10"/>
      <c r="G99" s="90"/>
    </row>
    <row r="100" spans="2:7">
      <c r="B100" s="14"/>
      <c r="F100" s="10"/>
      <c r="G100" s="90"/>
    </row>
    <row r="101" spans="2:7">
      <c r="B101" s="14"/>
      <c r="F101" s="10"/>
      <c r="G101" s="90"/>
    </row>
    <row r="102" spans="2:7">
      <c r="B102" s="14"/>
      <c r="F102" s="10"/>
      <c r="G102" s="90"/>
    </row>
    <row r="103" spans="2:7">
      <c r="B103" s="14"/>
      <c r="F103" s="10"/>
      <c r="G103" s="90"/>
    </row>
    <row r="104" spans="2:7">
      <c r="B104" s="14"/>
      <c r="F104" s="10"/>
      <c r="G104" s="90"/>
    </row>
    <row r="105" spans="2:7">
      <c r="B105" s="14"/>
      <c r="F105" s="10"/>
      <c r="G105" s="90"/>
    </row>
    <row r="106" spans="2:7">
      <c r="B106" s="14"/>
      <c r="F106" s="10"/>
      <c r="G106" s="90"/>
    </row>
    <row r="107" spans="2:7">
      <c r="B107" s="14"/>
      <c r="F107" s="10"/>
      <c r="G107" s="90"/>
    </row>
    <row r="108" spans="2:7">
      <c r="B108" s="14"/>
      <c r="F108" s="10"/>
      <c r="G108" s="90"/>
    </row>
    <row r="109" spans="2:7">
      <c r="B109" s="14"/>
      <c r="F109" s="10"/>
      <c r="G109" s="91"/>
    </row>
    <row r="110" spans="2:7">
      <c r="B110" s="14"/>
      <c r="F110" s="10"/>
      <c r="G110" s="91"/>
    </row>
    <row r="111" spans="2:7">
      <c r="F111" s="10"/>
      <c r="G111" s="91"/>
    </row>
    <row r="112" spans="2:7">
      <c r="F112" s="10"/>
      <c r="G112" s="91"/>
    </row>
    <row r="113" spans="6:7">
      <c r="F113" s="10"/>
      <c r="G113" s="91"/>
    </row>
    <row r="114" spans="6:7">
      <c r="F114" s="10"/>
      <c r="G114" s="91"/>
    </row>
    <row r="115" spans="6:7">
      <c r="F115" s="10"/>
      <c r="G115" s="91"/>
    </row>
    <row r="116" spans="6:7">
      <c r="F116" s="10"/>
      <c r="G116" s="91"/>
    </row>
    <row r="117" spans="6:7">
      <c r="F117" s="10"/>
      <c r="G117" s="10"/>
    </row>
    <row r="118" spans="6:7">
      <c r="F118" s="10"/>
      <c r="G118" s="10"/>
    </row>
    <row r="119" spans="6:7">
      <c r="F119" s="10"/>
      <c r="G119" s="10"/>
    </row>
    <row r="120" spans="6:7">
      <c r="F120" s="10"/>
      <c r="G120" s="10"/>
    </row>
  </sheetData>
  <pageMargins left="0.7" right="0.7" top="0.78740157499999996" bottom="0.78740157499999996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B922011-DA3D-4247-8A6F-456A9F48BF5D}">
          <x14:formula1>
            <xm:f>Dropdown!$J$4:$J$26</xm:f>
          </x14:formula1>
          <xm:sqref>G6:G100</xm:sqref>
        </x14:dataValidation>
        <x14:dataValidation type="list" allowBlank="1" showInputMessage="1" showErrorMessage="1" xr:uid="{3B991A49-E344-48BC-9B02-9C6B9C91C661}">
          <x14:formula1>
            <xm:f>Dropdown!$D$4:$D$13</xm:f>
          </x14:formula1>
          <xm:sqref>L6:L100</xm:sqref>
        </x14:dataValidation>
        <x14:dataValidation type="list" allowBlank="1" showInputMessage="1" showErrorMessage="1" xr:uid="{193A631C-D8EB-40DD-A300-E8B09C749C35}">
          <x14:formula1>
            <xm:f>Dropdown!$B$23:$B$27</xm:f>
          </x14:formula1>
          <xm:sqref>I6:I100</xm:sqref>
        </x14:dataValidation>
        <x14:dataValidation type="list" allowBlank="1" showInputMessage="1" showErrorMessage="1" xr:uid="{AAB12FA4-F156-495E-A60F-A849FF8E0A0C}">
          <x14:formula1>
            <xm:f>Dropdown!$B$4:$B$9</xm:f>
          </x14:formula1>
          <xm:sqref>H6:H100</xm:sqref>
        </x14:dataValidation>
        <x14:dataValidation type="list" allowBlank="1" showInputMessage="1" showErrorMessage="1" xr:uid="{B96AD629-8A58-4008-9101-FAAAE67B91F3}">
          <x14:formula1>
            <xm:f>Dropdown!$I$4:$I$8</xm:f>
          </x14:formula1>
          <xm:sqref>D6:D100</xm:sqref>
        </x14:dataValidation>
        <x14:dataValidation type="list" allowBlank="1" showInputMessage="1" showErrorMessage="1" xr:uid="{3D25E362-B405-4D72-B0B5-13EB96C11A10}">
          <x14:formula1>
            <xm:f>Dropdown!$F$4:$F$7</xm:f>
          </x14:formula1>
          <xm:sqref>C6:C100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5169-CFE7-40C6-8DBE-9D5F1BC8A2CE}">
  <dimension ref="A1:S120"/>
  <sheetViews>
    <sheetView zoomScale="76" workbookViewId="0">
      <pane xSplit="1" ySplit="5" topLeftCell="B6" activePane="bottomRight" state="frozen"/>
      <selection pane="bottomRight" activeCell="E25" sqref="E25"/>
      <selection pane="bottomLeft" activeCell="A6" sqref="A6"/>
      <selection pane="topRight" activeCell="B1" sqref="B1"/>
    </sheetView>
  </sheetViews>
  <sheetFormatPr defaultColWidth="11.42578125" defaultRowHeight="14.45"/>
  <cols>
    <col min="1" max="1" width="11.42578125" style="3"/>
    <col min="2" max="2" width="32.7109375" customWidth="1"/>
    <col min="3" max="3" width="16.85546875" style="9" customWidth="1"/>
    <col min="4" max="4" width="15.7109375" customWidth="1"/>
    <col min="5" max="5" width="57.85546875" customWidth="1"/>
    <col min="6" max="6" width="19.140625" style="9" customWidth="1"/>
    <col min="7" max="7" width="21.28515625" style="9" customWidth="1"/>
    <col min="8" max="9" width="23.7109375" customWidth="1"/>
    <col min="10" max="11" width="42.140625" customWidth="1"/>
    <col min="12" max="12" width="34" style="9" customWidth="1"/>
    <col min="13" max="13" width="26.28515625" style="9" customWidth="1"/>
    <col min="14" max="14" width="53.7109375" customWidth="1"/>
    <col min="15" max="19" width="11.42578125" style="3"/>
  </cols>
  <sheetData>
    <row r="1" spans="2:14" s="3" customFormat="1">
      <c r="C1" s="7"/>
      <c r="F1" s="7"/>
      <c r="G1" s="7"/>
      <c r="L1" s="7"/>
      <c r="M1" s="7"/>
    </row>
    <row r="2" spans="2:14" s="3" customFormat="1" ht="18.600000000000001">
      <c r="B2" s="5" t="s">
        <v>19</v>
      </c>
      <c r="C2" s="85"/>
      <c r="D2" s="5"/>
      <c r="E2" s="97" t="s">
        <v>20</v>
      </c>
      <c r="F2" s="99">
        <f>F3-F4</f>
        <v>221000</v>
      </c>
      <c r="G2" s="7"/>
      <c r="L2" s="7"/>
      <c r="M2" s="7"/>
    </row>
    <row r="3" spans="2:14" s="3" customFormat="1">
      <c r="B3" s="4" t="s">
        <v>21</v>
      </c>
      <c r="C3" s="86"/>
      <c r="D3" s="4"/>
      <c r="E3" s="96" t="s">
        <v>22</v>
      </c>
      <c r="F3" s="98">
        <f>('BudgetTemplate19.02.2026'!M25+'BudgetTemplate19.02.2026'!M26+'BudgetTemplate19.02.2026'!M27)*0.85</f>
        <v>221000</v>
      </c>
      <c r="G3" s="7"/>
      <c r="L3" s="7"/>
      <c r="M3" s="7"/>
    </row>
    <row r="4" spans="2:14" s="3" customFormat="1" ht="36" customHeight="1">
      <c r="C4" s="7"/>
      <c r="E4" s="94" t="s">
        <v>23</v>
      </c>
      <c r="F4" s="95">
        <f>SUM(F6+F22+F38+F54+F65+F76+F87)</f>
        <v>0</v>
      </c>
      <c r="G4" s="7"/>
      <c r="L4" s="7"/>
      <c r="M4" s="7"/>
    </row>
    <row r="5" spans="2:14" s="15" customFormat="1" ht="27.75" customHeight="1">
      <c r="B5" s="15" t="s">
        <v>24</v>
      </c>
      <c r="C5" s="16" t="s">
        <v>25</v>
      </c>
      <c r="D5" s="15" t="s">
        <v>26</v>
      </c>
      <c r="E5" s="15" t="s">
        <v>27</v>
      </c>
      <c r="F5" s="16" t="s">
        <v>28</v>
      </c>
      <c r="G5" s="16" t="s">
        <v>29</v>
      </c>
      <c r="H5" s="15" t="s">
        <v>30</v>
      </c>
      <c r="I5" s="15" t="s">
        <v>31</v>
      </c>
      <c r="J5" s="15" t="s">
        <v>32</v>
      </c>
      <c r="K5" s="15" t="s">
        <v>33</v>
      </c>
      <c r="L5" s="16" t="s">
        <v>34</v>
      </c>
      <c r="M5" s="16" t="s">
        <v>35</v>
      </c>
      <c r="N5" s="15" t="s">
        <v>37</v>
      </c>
    </row>
    <row r="6" spans="2:14">
      <c r="B6" s="11" t="s">
        <v>92</v>
      </c>
      <c r="C6" s="13"/>
      <c r="D6" s="11"/>
      <c r="E6" s="11"/>
      <c r="F6" s="12"/>
      <c r="G6" s="12"/>
      <c r="H6" s="11"/>
      <c r="I6" s="11"/>
      <c r="J6" s="11"/>
      <c r="K6" s="11"/>
      <c r="L6" s="13"/>
      <c r="M6" s="13"/>
      <c r="N6" s="11"/>
    </row>
    <row r="7" spans="2:14">
      <c r="B7" s="14"/>
      <c r="C7" s="87"/>
      <c r="D7" s="84"/>
      <c r="E7" s="84"/>
      <c r="F7" s="10"/>
      <c r="G7" s="90"/>
    </row>
    <row r="8" spans="2:14">
      <c r="B8" s="14"/>
      <c r="C8" s="87"/>
      <c r="D8" s="84"/>
      <c r="F8" s="10"/>
      <c r="G8" s="90"/>
    </row>
    <row r="9" spans="2:14">
      <c r="B9" s="14"/>
      <c r="C9" s="88"/>
      <c r="D9" s="14"/>
      <c r="F9" s="10"/>
      <c r="G9" s="90"/>
    </row>
    <row r="10" spans="2:14">
      <c r="B10" s="14"/>
      <c r="C10" s="88"/>
      <c r="D10" s="14"/>
      <c r="F10" s="10"/>
      <c r="G10" s="90"/>
    </row>
    <row r="11" spans="2:14">
      <c r="B11" s="14"/>
      <c r="C11" s="88"/>
      <c r="D11" s="14"/>
      <c r="F11" s="10"/>
      <c r="G11" s="90"/>
    </row>
    <row r="12" spans="2:14">
      <c r="B12" s="14"/>
      <c r="C12" s="88"/>
      <c r="D12" s="14"/>
      <c r="F12" s="10"/>
      <c r="G12" s="90"/>
    </row>
    <row r="13" spans="2:14">
      <c r="B13" s="14"/>
      <c r="C13" s="88"/>
      <c r="D13" s="14"/>
      <c r="F13" s="10"/>
      <c r="G13" s="90"/>
    </row>
    <row r="14" spans="2:14">
      <c r="B14" s="14"/>
      <c r="C14" s="88"/>
      <c r="D14" s="14"/>
      <c r="F14" s="10"/>
      <c r="G14" s="90"/>
    </row>
    <row r="15" spans="2:14">
      <c r="B15" s="14"/>
      <c r="C15" s="88"/>
      <c r="D15" s="14"/>
      <c r="F15" s="10"/>
      <c r="G15" s="90"/>
    </row>
    <row r="16" spans="2:14">
      <c r="B16" s="14"/>
      <c r="C16" s="88"/>
      <c r="D16" s="14"/>
      <c r="F16" s="10"/>
      <c r="G16" s="90"/>
    </row>
    <row r="17" spans="2:14">
      <c r="B17" s="14"/>
      <c r="C17" s="88"/>
      <c r="D17" s="14"/>
      <c r="F17" s="10"/>
      <c r="G17" s="90"/>
    </row>
    <row r="18" spans="2:14">
      <c r="B18" s="14"/>
      <c r="C18" s="88"/>
      <c r="D18" s="14"/>
      <c r="F18" s="10"/>
      <c r="G18" s="90"/>
    </row>
    <row r="19" spans="2:14">
      <c r="B19" s="14"/>
      <c r="C19" s="88"/>
      <c r="D19" s="14"/>
      <c r="F19" s="10"/>
      <c r="G19" s="90"/>
    </row>
    <row r="20" spans="2:14">
      <c r="B20" s="14"/>
      <c r="C20" s="88"/>
      <c r="D20" s="14"/>
      <c r="F20" s="10"/>
      <c r="G20" s="90"/>
    </row>
    <row r="21" spans="2:14">
      <c r="B21" s="14"/>
      <c r="C21" s="88"/>
      <c r="D21" s="14"/>
      <c r="F21" s="10"/>
      <c r="G21" s="90"/>
    </row>
    <row r="22" spans="2:14">
      <c r="B22" s="11" t="s">
        <v>93</v>
      </c>
      <c r="C22" s="13"/>
      <c r="D22" s="11"/>
      <c r="E22" s="11"/>
      <c r="F22" s="12"/>
      <c r="G22" s="92"/>
      <c r="H22" s="11"/>
      <c r="I22" s="11"/>
      <c r="J22" s="11"/>
      <c r="K22" s="11"/>
      <c r="L22" s="13"/>
      <c r="M22" s="13"/>
      <c r="N22" s="11"/>
    </row>
    <row r="23" spans="2:14">
      <c r="B23" s="14"/>
      <c r="C23" s="87"/>
      <c r="D23" s="84"/>
      <c r="E23" s="84"/>
      <c r="F23" s="10"/>
      <c r="G23" s="90"/>
    </row>
    <row r="24" spans="2:14">
      <c r="B24" s="14"/>
      <c r="C24" s="88"/>
      <c r="D24" s="14"/>
      <c r="F24" s="10"/>
      <c r="G24" s="90"/>
    </row>
    <row r="25" spans="2:14">
      <c r="B25" s="14"/>
      <c r="C25" s="88"/>
      <c r="D25" s="14"/>
      <c r="F25" s="10"/>
      <c r="G25" s="90"/>
    </row>
    <row r="26" spans="2:14">
      <c r="B26" s="14"/>
      <c r="C26" s="88"/>
      <c r="D26" s="14"/>
      <c r="F26" s="10"/>
      <c r="G26" s="90"/>
    </row>
    <row r="27" spans="2:14">
      <c r="B27" s="14"/>
      <c r="C27" s="88"/>
      <c r="D27" s="14"/>
      <c r="F27" s="10"/>
      <c r="G27" s="90"/>
    </row>
    <row r="28" spans="2:14">
      <c r="B28" s="14"/>
      <c r="C28" s="88"/>
      <c r="D28" s="14"/>
      <c r="F28" s="10"/>
      <c r="G28" s="90"/>
    </row>
    <row r="29" spans="2:14">
      <c r="B29" s="14"/>
      <c r="C29" s="88"/>
      <c r="D29" s="14"/>
      <c r="F29" s="10"/>
      <c r="G29" s="90"/>
    </row>
    <row r="30" spans="2:14">
      <c r="B30" s="14"/>
      <c r="C30" s="88"/>
      <c r="D30" s="14"/>
      <c r="F30" s="10"/>
      <c r="G30" s="90"/>
    </row>
    <row r="31" spans="2:14">
      <c r="B31" s="14"/>
      <c r="C31" s="88"/>
      <c r="D31" s="14"/>
      <c r="F31" s="10"/>
      <c r="G31" s="90"/>
    </row>
    <row r="32" spans="2:14">
      <c r="B32" s="14"/>
      <c r="C32" s="88"/>
      <c r="D32" s="14"/>
      <c r="F32" s="10"/>
      <c r="G32" s="90"/>
    </row>
    <row r="33" spans="2:14">
      <c r="B33" s="14"/>
      <c r="C33" s="88"/>
      <c r="D33" s="14"/>
      <c r="F33" s="10"/>
      <c r="G33" s="90"/>
    </row>
    <row r="34" spans="2:14">
      <c r="B34" s="14"/>
      <c r="C34" s="88"/>
      <c r="D34" s="14"/>
      <c r="F34" s="10"/>
      <c r="G34" s="90"/>
    </row>
    <row r="35" spans="2:14">
      <c r="B35" s="14"/>
      <c r="C35" s="88"/>
      <c r="D35" s="14"/>
      <c r="F35" s="10"/>
      <c r="G35" s="90"/>
    </row>
    <row r="36" spans="2:14">
      <c r="B36" s="14"/>
      <c r="C36" s="88"/>
      <c r="D36" s="14"/>
      <c r="F36" s="10"/>
      <c r="G36" s="90"/>
    </row>
    <row r="37" spans="2:14">
      <c r="B37" s="14"/>
      <c r="C37" s="88"/>
      <c r="D37" s="14"/>
      <c r="F37" s="10"/>
      <c r="G37" s="90"/>
    </row>
    <row r="38" spans="2:14">
      <c r="B38" s="11" t="s">
        <v>94</v>
      </c>
      <c r="C38" s="13"/>
      <c r="D38" s="11"/>
      <c r="E38" s="11"/>
      <c r="F38" s="12"/>
      <c r="G38" s="92"/>
      <c r="H38" s="11"/>
      <c r="I38" s="11"/>
      <c r="J38" s="11"/>
      <c r="K38" s="11"/>
      <c r="L38" s="13"/>
      <c r="M38" s="13"/>
      <c r="N38" s="11"/>
    </row>
    <row r="39" spans="2:14">
      <c r="B39" s="14"/>
      <c r="C39" s="88"/>
      <c r="D39" s="14"/>
      <c r="F39" s="10"/>
      <c r="G39" s="90"/>
    </row>
    <row r="40" spans="2:14">
      <c r="B40" s="14"/>
      <c r="C40" s="88"/>
      <c r="D40" s="14"/>
      <c r="F40" s="10"/>
      <c r="G40" s="90"/>
    </row>
    <row r="41" spans="2:14">
      <c r="B41" s="14"/>
      <c r="C41" s="88"/>
      <c r="D41" s="14"/>
      <c r="F41" s="10"/>
      <c r="G41" s="90"/>
    </row>
    <row r="42" spans="2:14">
      <c r="B42" s="14"/>
      <c r="C42" s="88"/>
      <c r="D42" s="14"/>
      <c r="F42" s="10"/>
      <c r="G42" s="90"/>
    </row>
    <row r="43" spans="2:14">
      <c r="B43" s="14"/>
      <c r="C43" s="88"/>
      <c r="D43" s="14"/>
      <c r="F43" s="10"/>
      <c r="G43" s="90"/>
    </row>
    <row r="44" spans="2:14">
      <c r="B44" s="14"/>
      <c r="C44" s="88"/>
      <c r="D44" s="14"/>
      <c r="F44" s="10"/>
      <c r="G44" s="90"/>
    </row>
    <row r="45" spans="2:14">
      <c r="B45" s="14"/>
      <c r="C45" s="88"/>
      <c r="D45" s="14"/>
      <c r="F45" s="10"/>
      <c r="G45" s="90"/>
    </row>
    <row r="46" spans="2:14">
      <c r="B46" s="14"/>
      <c r="C46" s="88"/>
      <c r="D46" s="14"/>
      <c r="F46" s="10"/>
      <c r="G46" s="90"/>
    </row>
    <row r="47" spans="2:14">
      <c r="B47" s="14"/>
      <c r="C47" s="88"/>
      <c r="D47" s="14"/>
      <c r="F47" s="10"/>
      <c r="G47" s="90"/>
    </row>
    <row r="48" spans="2:14">
      <c r="B48" s="14"/>
      <c r="C48" s="88"/>
      <c r="D48" s="14"/>
      <c r="F48" s="10"/>
      <c r="G48" s="90"/>
    </row>
    <row r="49" spans="2:14">
      <c r="B49" s="14"/>
      <c r="C49" s="88"/>
      <c r="D49" s="14"/>
      <c r="F49" s="10"/>
      <c r="G49" s="90"/>
    </row>
    <row r="50" spans="2:14">
      <c r="B50" s="14"/>
      <c r="C50" s="88"/>
      <c r="D50" s="14"/>
      <c r="F50" s="10"/>
      <c r="G50" s="90"/>
    </row>
    <row r="51" spans="2:14">
      <c r="B51" s="14"/>
      <c r="C51" s="88"/>
      <c r="D51" s="14"/>
      <c r="F51" s="10"/>
      <c r="G51" s="90"/>
    </row>
    <row r="52" spans="2:14">
      <c r="B52" s="14"/>
      <c r="C52" s="88"/>
      <c r="D52" s="14"/>
      <c r="F52" s="10"/>
      <c r="G52" s="90"/>
    </row>
    <row r="53" spans="2:14">
      <c r="B53" s="14"/>
      <c r="C53" s="88"/>
      <c r="D53" s="14"/>
      <c r="F53" s="10"/>
      <c r="G53" s="90"/>
    </row>
    <row r="54" spans="2:14">
      <c r="B54" s="11" t="s">
        <v>95</v>
      </c>
      <c r="C54" s="13"/>
      <c r="D54" s="11"/>
      <c r="E54" s="11"/>
      <c r="F54" s="12"/>
      <c r="G54" s="92"/>
      <c r="H54" s="11"/>
      <c r="I54" s="11"/>
      <c r="J54" s="11"/>
      <c r="K54" s="11"/>
      <c r="L54" s="13"/>
      <c r="M54" s="13"/>
      <c r="N54" s="11"/>
    </row>
    <row r="55" spans="2:14">
      <c r="B55" s="14"/>
      <c r="C55" s="88"/>
      <c r="D55" s="14"/>
      <c r="E55" t="s">
        <v>96</v>
      </c>
      <c r="F55" s="10">
        <v>80000</v>
      </c>
      <c r="G55" s="90">
        <v>46204</v>
      </c>
      <c r="H55" t="s">
        <v>51</v>
      </c>
    </row>
    <row r="56" spans="2:14">
      <c r="B56" s="14"/>
      <c r="C56" s="88"/>
      <c r="D56" s="14"/>
      <c r="F56" s="10"/>
      <c r="G56" s="90"/>
    </row>
    <row r="57" spans="2:14">
      <c r="B57" s="14"/>
      <c r="C57" s="88"/>
      <c r="D57" s="14"/>
      <c r="F57" s="10"/>
      <c r="G57" s="90"/>
    </row>
    <row r="58" spans="2:14">
      <c r="B58" s="14"/>
      <c r="C58" s="88"/>
      <c r="D58" s="14"/>
      <c r="F58" s="10"/>
      <c r="G58" s="90"/>
    </row>
    <row r="59" spans="2:14">
      <c r="B59" s="14"/>
      <c r="C59" s="88"/>
      <c r="D59" s="14"/>
      <c r="F59" s="10"/>
      <c r="G59" s="90"/>
    </row>
    <row r="60" spans="2:14">
      <c r="B60" s="14"/>
      <c r="C60" s="88"/>
      <c r="D60" s="14"/>
      <c r="F60" s="10"/>
      <c r="G60" s="90"/>
    </row>
    <row r="61" spans="2:14">
      <c r="B61" s="14"/>
      <c r="C61" s="88"/>
      <c r="D61" s="14"/>
      <c r="F61" s="10"/>
      <c r="G61" s="90"/>
    </row>
    <row r="62" spans="2:14">
      <c r="B62" s="14"/>
      <c r="C62" s="88"/>
      <c r="D62" s="14"/>
      <c r="F62" s="10"/>
      <c r="G62" s="90"/>
    </row>
    <row r="63" spans="2:14">
      <c r="B63" s="14"/>
      <c r="C63" s="88"/>
      <c r="D63" s="14"/>
      <c r="F63" s="10"/>
      <c r="G63" s="90"/>
    </row>
    <row r="64" spans="2:14">
      <c r="B64" s="14"/>
      <c r="C64" s="88"/>
      <c r="D64" s="14"/>
      <c r="F64" s="10"/>
      <c r="G64" s="90"/>
    </row>
    <row r="65" spans="2:14">
      <c r="B65" s="11"/>
      <c r="C65" s="13"/>
      <c r="D65" s="11"/>
      <c r="E65" s="11"/>
      <c r="F65" s="12"/>
      <c r="G65" s="92"/>
      <c r="H65" s="11"/>
      <c r="I65" s="11"/>
      <c r="J65" s="11"/>
      <c r="K65" s="11"/>
      <c r="L65" s="13"/>
      <c r="M65" s="13"/>
      <c r="N65" s="11"/>
    </row>
    <row r="66" spans="2:14">
      <c r="B66" s="14"/>
      <c r="C66" s="88"/>
      <c r="D66" s="14"/>
      <c r="F66" s="10"/>
      <c r="G66" s="90"/>
    </row>
    <row r="67" spans="2:14">
      <c r="B67" s="14"/>
      <c r="C67" s="88"/>
      <c r="D67" s="14"/>
      <c r="F67" s="10"/>
      <c r="G67" s="90"/>
    </row>
    <row r="68" spans="2:14">
      <c r="B68" s="14"/>
      <c r="C68" s="88"/>
      <c r="D68" s="14"/>
      <c r="F68" s="10"/>
      <c r="G68" s="90"/>
    </row>
    <row r="69" spans="2:14">
      <c r="B69" s="14"/>
      <c r="C69" s="88"/>
      <c r="D69" s="14"/>
      <c r="F69" s="10"/>
      <c r="G69" s="90"/>
    </row>
    <row r="70" spans="2:14">
      <c r="B70" s="14"/>
      <c r="C70" s="88"/>
      <c r="D70" s="14"/>
      <c r="F70" s="10"/>
      <c r="G70" s="90"/>
    </row>
    <row r="71" spans="2:14">
      <c r="B71" s="14"/>
      <c r="C71" s="88"/>
      <c r="D71" s="14"/>
      <c r="F71" s="10"/>
      <c r="G71" s="90"/>
    </row>
    <row r="72" spans="2:14">
      <c r="B72" s="14"/>
      <c r="C72" s="88"/>
      <c r="D72" s="14"/>
      <c r="F72" s="10"/>
      <c r="G72" s="90"/>
    </row>
    <row r="73" spans="2:14">
      <c r="B73" s="14"/>
      <c r="C73" s="88"/>
      <c r="D73" s="14"/>
      <c r="F73" s="10"/>
      <c r="G73" s="90"/>
    </row>
    <row r="74" spans="2:14">
      <c r="B74" s="14"/>
      <c r="C74" s="88"/>
      <c r="D74" s="14"/>
      <c r="F74" s="10"/>
      <c r="G74" s="90"/>
    </row>
    <row r="75" spans="2:14">
      <c r="B75" s="14"/>
      <c r="C75" s="88"/>
      <c r="D75" s="14"/>
      <c r="F75" s="10"/>
      <c r="G75" s="90"/>
    </row>
    <row r="76" spans="2:14">
      <c r="B76" s="11"/>
      <c r="C76" s="13"/>
      <c r="D76" s="11"/>
      <c r="E76" s="11"/>
      <c r="F76" s="12"/>
      <c r="G76" s="92"/>
      <c r="H76" s="11"/>
      <c r="I76" s="11"/>
      <c r="J76" s="11"/>
      <c r="K76" s="11"/>
      <c r="L76" s="13"/>
      <c r="M76" s="13"/>
      <c r="N76" s="11"/>
    </row>
    <row r="77" spans="2:14">
      <c r="B77" s="14"/>
      <c r="C77" s="88"/>
      <c r="D77" s="14"/>
      <c r="F77" s="10"/>
      <c r="G77" s="90"/>
    </row>
    <row r="78" spans="2:14">
      <c r="B78" s="14"/>
      <c r="C78" s="88"/>
      <c r="D78" s="14"/>
      <c r="F78" s="10"/>
      <c r="G78" s="90"/>
    </row>
    <row r="79" spans="2:14">
      <c r="B79" s="14"/>
      <c r="C79" s="88"/>
      <c r="D79" s="14"/>
      <c r="F79" s="10"/>
      <c r="G79" s="90"/>
    </row>
    <row r="80" spans="2:14">
      <c r="B80" s="14"/>
      <c r="C80" s="88"/>
      <c r="D80" s="14"/>
      <c r="F80" s="10"/>
      <c r="G80" s="90"/>
    </row>
    <row r="81" spans="2:14">
      <c r="B81" s="14"/>
      <c r="C81" s="88"/>
      <c r="D81" s="14"/>
      <c r="E81" s="84"/>
      <c r="F81" s="10"/>
      <c r="G81" s="90"/>
    </row>
    <row r="82" spans="2:14">
      <c r="B82" s="14"/>
      <c r="C82" s="88"/>
      <c r="D82" s="14"/>
      <c r="E82" s="84"/>
      <c r="F82" s="10"/>
      <c r="G82" s="90"/>
    </row>
    <row r="83" spans="2:14">
      <c r="B83" s="14"/>
      <c r="C83" s="88"/>
      <c r="D83" s="14"/>
      <c r="F83" s="10"/>
      <c r="G83" s="90"/>
    </row>
    <row r="84" spans="2:14">
      <c r="B84" s="14"/>
      <c r="C84" s="88"/>
      <c r="D84" s="14"/>
      <c r="F84" s="10"/>
      <c r="G84" s="90"/>
    </row>
    <row r="85" spans="2:14">
      <c r="B85" s="14"/>
      <c r="C85" s="88"/>
      <c r="D85" s="14"/>
      <c r="F85" s="10"/>
      <c r="G85" s="90"/>
    </row>
    <row r="86" spans="2:14">
      <c r="B86" s="14"/>
      <c r="C86" s="88"/>
      <c r="D86" s="14"/>
      <c r="F86" s="10"/>
      <c r="G86" s="90"/>
    </row>
    <row r="87" spans="2:14">
      <c r="B87" s="11"/>
      <c r="C87" s="13"/>
      <c r="D87" s="11"/>
      <c r="E87" s="11"/>
      <c r="F87" s="12"/>
      <c r="G87" s="92"/>
      <c r="H87" s="11"/>
      <c r="I87" s="11"/>
      <c r="J87" s="11"/>
      <c r="K87" s="11"/>
      <c r="L87" s="13"/>
      <c r="M87" s="13"/>
      <c r="N87" s="11"/>
    </row>
    <row r="88" spans="2:14">
      <c r="B88" s="14"/>
      <c r="F88" s="10"/>
      <c r="G88" s="90"/>
    </row>
    <row r="89" spans="2:14">
      <c r="B89" s="14"/>
      <c r="F89" s="10"/>
      <c r="G89" s="90"/>
    </row>
    <row r="90" spans="2:14">
      <c r="B90" s="14"/>
      <c r="F90" s="10"/>
      <c r="G90" s="90"/>
    </row>
    <row r="91" spans="2:14">
      <c r="B91" s="14"/>
      <c r="F91" s="10"/>
      <c r="G91" s="90"/>
    </row>
    <row r="92" spans="2:14">
      <c r="B92" s="14"/>
      <c r="F92" s="10"/>
      <c r="G92" s="90"/>
    </row>
    <row r="93" spans="2:14">
      <c r="B93" s="14"/>
      <c r="F93" s="10"/>
      <c r="G93" s="90"/>
    </row>
    <row r="94" spans="2:14">
      <c r="B94" s="14"/>
      <c r="F94" s="10"/>
      <c r="G94" s="90"/>
    </row>
    <row r="95" spans="2:14">
      <c r="B95" s="14"/>
      <c r="F95" s="10"/>
      <c r="G95" s="90"/>
    </row>
    <row r="96" spans="2:14">
      <c r="B96" s="14"/>
      <c r="F96" s="10"/>
      <c r="G96" s="90"/>
    </row>
    <row r="97" spans="2:7">
      <c r="B97" s="14"/>
      <c r="F97" s="10"/>
      <c r="G97" s="90"/>
    </row>
    <row r="98" spans="2:7">
      <c r="B98" s="14"/>
      <c r="F98" s="10"/>
      <c r="G98" s="90"/>
    </row>
    <row r="99" spans="2:7">
      <c r="B99" s="14"/>
      <c r="F99" s="10"/>
      <c r="G99" s="90"/>
    </row>
    <row r="100" spans="2:7">
      <c r="B100" s="14"/>
      <c r="F100" s="10"/>
      <c r="G100" s="90"/>
    </row>
    <row r="101" spans="2:7">
      <c r="B101" s="14"/>
      <c r="F101" s="10"/>
      <c r="G101" s="90"/>
    </row>
    <row r="102" spans="2:7">
      <c r="B102" s="14"/>
      <c r="F102" s="10"/>
      <c r="G102" s="90"/>
    </row>
    <row r="103" spans="2:7">
      <c r="B103" s="14"/>
      <c r="F103" s="10"/>
      <c r="G103" s="90"/>
    </row>
    <row r="104" spans="2:7">
      <c r="B104" s="14"/>
      <c r="F104" s="10"/>
      <c r="G104" s="90"/>
    </row>
    <row r="105" spans="2:7">
      <c r="B105" s="14"/>
      <c r="F105" s="10"/>
      <c r="G105" s="90"/>
    </row>
    <row r="106" spans="2:7">
      <c r="B106" s="14"/>
      <c r="F106" s="10"/>
      <c r="G106" s="90"/>
    </row>
    <row r="107" spans="2:7">
      <c r="B107" s="14"/>
      <c r="F107" s="10"/>
      <c r="G107" s="90"/>
    </row>
    <row r="108" spans="2:7">
      <c r="B108" s="14"/>
      <c r="F108" s="10"/>
      <c r="G108" s="90"/>
    </row>
    <row r="109" spans="2:7">
      <c r="B109" s="14"/>
      <c r="F109" s="10"/>
      <c r="G109" s="91"/>
    </row>
    <row r="110" spans="2:7">
      <c r="B110" s="14"/>
      <c r="F110" s="10"/>
      <c r="G110" s="91"/>
    </row>
    <row r="111" spans="2:7">
      <c r="F111" s="10"/>
      <c r="G111" s="91"/>
    </row>
    <row r="112" spans="2:7">
      <c r="F112" s="10"/>
      <c r="G112" s="91"/>
    </row>
    <row r="113" spans="6:7">
      <c r="F113" s="10"/>
      <c r="G113" s="91"/>
    </row>
    <row r="114" spans="6:7">
      <c r="F114" s="10"/>
      <c r="G114" s="91"/>
    </row>
    <row r="115" spans="6:7">
      <c r="F115" s="10"/>
      <c r="G115" s="91"/>
    </row>
    <row r="116" spans="6:7">
      <c r="F116" s="10"/>
      <c r="G116" s="91"/>
    </row>
    <row r="117" spans="6:7">
      <c r="F117" s="10"/>
      <c r="G117" s="10"/>
    </row>
    <row r="118" spans="6:7">
      <c r="F118" s="10"/>
      <c r="G118" s="10"/>
    </row>
    <row r="119" spans="6:7">
      <c r="F119" s="10"/>
      <c r="G119" s="10"/>
    </row>
    <row r="120" spans="6:7">
      <c r="F120" s="10"/>
      <c r="G120" s="10"/>
    </row>
  </sheetData>
  <pageMargins left="0.7" right="0.7" top="0.78740157499999996" bottom="0.78740157499999996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1967368-055A-4C5E-B5A1-2AE822051AF9}">
          <x14:formula1>
            <xm:f>Dropdown!$J$4:$J$26</xm:f>
          </x14:formula1>
          <xm:sqref>G6:G100</xm:sqref>
        </x14:dataValidation>
        <x14:dataValidation type="list" allowBlank="1" showInputMessage="1" showErrorMessage="1" xr:uid="{FF9DC8A0-AC76-45EA-8727-FDC97FEA9CE8}">
          <x14:formula1>
            <xm:f>Dropdown!$D$4:$D$13</xm:f>
          </x14:formula1>
          <xm:sqref>L6:L100</xm:sqref>
        </x14:dataValidation>
        <x14:dataValidation type="list" allowBlank="1" showInputMessage="1" showErrorMessage="1" xr:uid="{2C78D5BF-1CE3-4476-B071-806E0B90B34D}">
          <x14:formula1>
            <xm:f>Dropdown!$B$23:$B$27</xm:f>
          </x14:formula1>
          <xm:sqref>I6:I100</xm:sqref>
        </x14:dataValidation>
        <x14:dataValidation type="list" allowBlank="1" showInputMessage="1" showErrorMessage="1" xr:uid="{56F2B21A-1B4E-4ED8-A075-53F71453B78E}">
          <x14:formula1>
            <xm:f>Dropdown!$B$4:$B$9</xm:f>
          </x14:formula1>
          <xm:sqref>H6:H100</xm:sqref>
        </x14:dataValidation>
        <x14:dataValidation type="list" allowBlank="1" showInputMessage="1" showErrorMessage="1" xr:uid="{EA5AA00B-79ED-4CDF-95A3-1D68FC826A00}">
          <x14:formula1>
            <xm:f>Dropdown!$I$4:$I$8</xm:f>
          </x14:formula1>
          <xm:sqref>D6:D100</xm:sqref>
        </x14:dataValidation>
        <x14:dataValidation type="list" allowBlank="1" showInputMessage="1" showErrorMessage="1" xr:uid="{D3E78A12-5CCF-4D3A-AC59-D01F8DF114A6}">
          <x14:formula1>
            <xm:f>Dropdown!$F$4:$F$7</xm:f>
          </x14:formula1>
          <xm:sqref>C6:C100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A8AE-6157-4FA7-9141-1C9C23257B7E}">
  <dimension ref="A1:S120"/>
  <sheetViews>
    <sheetView zoomScale="76" workbookViewId="0">
      <pane xSplit="1" ySplit="5" topLeftCell="B6" activePane="bottomRight" state="frozen"/>
      <selection pane="bottomRight" activeCell="C40" sqref="C40"/>
      <selection pane="bottomLeft" activeCell="A6" sqref="A6"/>
      <selection pane="topRight" activeCell="B1" sqref="B1"/>
    </sheetView>
  </sheetViews>
  <sheetFormatPr defaultColWidth="11.42578125" defaultRowHeight="14.45"/>
  <cols>
    <col min="1" max="1" width="11.42578125" style="3"/>
    <col min="2" max="2" width="32.7109375" customWidth="1"/>
    <col min="3" max="3" width="16.85546875" style="9" customWidth="1"/>
    <col min="4" max="4" width="15.7109375" customWidth="1"/>
    <col min="5" max="5" width="57.85546875" customWidth="1"/>
    <col min="6" max="6" width="13.140625" style="9" customWidth="1"/>
    <col min="7" max="7" width="21.28515625" style="9" customWidth="1"/>
    <col min="8" max="9" width="23.7109375" customWidth="1"/>
    <col min="10" max="11" width="42.140625" customWidth="1"/>
    <col min="12" max="12" width="34" style="9" customWidth="1"/>
    <col min="13" max="13" width="26.28515625" style="9" customWidth="1"/>
    <col min="14" max="14" width="53.7109375" customWidth="1"/>
    <col min="15" max="19" width="11.42578125" style="3"/>
  </cols>
  <sheetData>
    <row r="1" spans="2:14" s="3" customFormat="1">
      <c r="C1" s="7"/>
      <c r="F1" s="7"/>
      <c r="G1" s="7"/>
      <c r="L1" s="7"/>
      <c r="M1" s="7"/>
    </row>
    <row r="2" spans="2:14" s="3" customFormat="1" ht="18.600000000000001">
      <c r="B2" s="5" t="s">
        <v>19</v>
      </c>
      <c r="C2" s="85"/>
      <c r="D2" s="5"/>
      <c r="F2" s="7"/>
      <c r="G2" s="7"/>
      <c r="L2" s="7"/>
      <c r="M2" s="7"/>
    </row>
    <row r="3" spans="2:14" s="3" customFormat="1">
      <c r="B3" s="4" t="s">
        <v>21</v>
      </c>
      <c r="C3" s="86"/>
      <c r="D3" s="4"/>
      <c r="F3" s="7"/>
      <c r="G3" s="7"/>
      <c r="L3" s="7"/>
      <c r="M3" s="7"/>
    </row>
    <row r="4" spans="2:14" s="3" customFormat="1" ht="36" customHeight="1">
      <c r="C4" s="7"/>
      <c r="F4" s="93">
        <f>SUM(F6+F22+F38+F54+F65+F87+F76)</f>
        <v>0</v>
      </c>
      <c r="G4" s="7"/>
      <c r="L4" s="7"/>
      <c r="M4" s="7"/>
    </row>
    <row r="5" spans="2:14" s="15" customFormat="1" ht="27.75" customHeight="1">
      <c r="B5" s="15" t="s">
        <v>24</v>
      </c>
      <c r="C5" s="16" t="s">
        <v>25</v>
      </c>
      <c r="D5" s="15" t="s">
        <v>26</v>
      </c>
      <c r="E5" s="15" t="s">
        <v>27</v>
      </c>
      <c r="F5" s="16" t="s">
        <v>28</v>
      </c>
      <c r="G5" s="16" t="s">
        <v>29</v>
      </c>
      <c r="H5" s="15" t="s">
        <v>30</v>
      </c>
      <c r="I5" s="15" t="s">
        <v>31</v>
      </c>
      <c r="J5" s="15" t="s">
        <v>32</v>
      </c>
      <c r="K5" s="15" t="s">
        <v>33</v>
      </c>
      <c r="L5" s="16" t="s">
        <v>34</v>
      </c>
      <c r="M5" s="16" t="s">
        <v>35</v>
      </c>
      <c r="N5" s="15" t="s">
        <v>37</v>
      </c>
    </row>
    <row r="6" spans="2:14">
      <c r="B6" s="11" t="s">
        <v>97</v>
      </c>
      <c r="C6" s="13"/>
      <c r="D6" s="11"/>
      <c r="E6" s="11"/>
      <c r="F6" s="12"/>
      <c r="G6" s="12"/>
      <c r="H6" s="11"/>
      <c r="I6" s="11"/>
      <c r="J6" s="11"/>
      <c r="K6" s="11"/>
      <c r="L6" s="13"/>
      <c r="M6" s="13"/>
      <c r="N6" s="11"/>
    </row>
    <row r="7" spans="2:14">
      <c r="B7" s="14"/>
      <c r="C7" s="87"/>
      <c r="D7" s="84"/>
      <c r="E7" s="84"/>
      <c r="F7" s="10"/>
      <c r="G7" s="90"/>
    </row>
    <row r="8" spans="2:14">
      <c r="B8" s="14"/>
      <c r="C8" s="87"/>
      <c r="D8" s="84"/>
      <c r="F8" s="10"/>
      <c r="G8" s="90"/>
    </row>
    <row r="9" spans="2:14">
      <c r="B9" s="14"/>
      <c r="C9" s="88"/>
      <c r="D9" s="14"/>
      <c r="F9" s="10"/>
      <c r="G9" s="90"/>
    </row>
    <row r="10" spans="2:14">
      <c r="B10" s="14"/>
      <c r="C10" s="88"/>
      <c r="D10" s="14"/>
      <c r="F10" s="10"/>
      <c r="G10" s="90"/>
    </row>
    <row r="11" spans="2:14">
      <c r="B11" s="14"/>
      <c r="C11" s="88"/>
      <c r="D11" s="14"/>
      <c r="F11" s="10"/>
      <c r="G11" s="90"/>
    </row>
    <row r="12" spans="2:14">
      <c r="B12" s="14"/>
      <c r="C12" s="88"/>
      <c r="D12" s="14"/>
      <c r="F12" s="10"/>
      <c r="G12" s="90"/>
    </row>
    <row r="13" spans="2:14">
      <c r="B13" s="14"/>
      <c r="C13" s="88"/>
      <c r="D13" s="14"/>
      <c r="F13" s="10"/>
      <c r="G13" s="90"/>
    </row>
    <row r="14" spans="2:14">
      <c r="B14" s="14"/>
      <c r="C14" s="88"/>
      <c r="D14" s="14"/>
      <c r="F14" s="10"/>
      <c r="G14" s="90"/>
    </row>
    <row r="15" spans="2:14">
      <c r="B15" s="14"/>
      <c r="C15" s="88"/>
      <c r="D15" s="14"/>
      <c r="F15" s="10"/>
      <c r="G15" s="90"/>
    </row>
    <row r="16" spans="2:14">
      <c r="B16" s="14"/>
      <c r="C16" s="88"/>
      <c r="D16" s="14"/>
      <c r="F16" s="10"/>
      <c r="G16" s="90"/>
    </row>
    <row r="17" spans="2:14">
      <c r="B17" s="14"/>
      <c r="C17" s="88"/>
      <c r="D17" s="14"/>
      <c r="F17" s="10"/>
      <c r="G17" s="90"/>
    </row>
    <row r="18" spans="2:14">
      <c r="B18" s="14"/>
      <c r="C18" s="88"/>
      <c r="D18" s="14"/>
      <c r="F18" s="10"/>
      <c r="G18" s="90"/>
    </row>
    <row r="19" spans="2:14">
      <c r="B19" s="14"/>
      <c r="C19" s="88"/>
      <c r="D19" s="14"/>
      <c r="F19" s="10"/>
      <c r="G19" s="90"/>
    </row>
    <row r="20" spans="2:14">
      <c r="B20" s="14"/>
      <c r="C20" s="88"/>
      <c r="D20" s="14"/>
      <c r="F20" s="10"/>
      <c r="G20" s="90"/>
    </row>
    <row r="21" spans="2:14">
      <c r="B21" s="14"/>
      <c r="C21" s="88"/>
      <c r="D21" s="14"/>
      <c r="F21" s="10"/>
      <c r="G21" s="90"/>
    </row>
    <row r="22" spans="2:14">
      <c r="B22" s="11" t="s">
        <v>98</v>
      </c>
      <c r="C22" s="13"/>
      <c r="D22" s="11"/>
      <c r="E22" s="11"/>
      <c r="F22" s="12"/>
      <c r="G22" s="92"/>
      <c r="H22" s="11"/>
      <c r="I22" s="11"/>
      <c r="J22" s="11"/>
      <c r="K22" s="11"/>
      <c r="L22" s="13"/>
      <c r="M22" s="13"/>
      <c r="N22" s="11"/>
    </row>
    <row r="23" spans="2:14">
      <c r="B23" s="14"/>
      <c r="C23" s="87"/>
      <c r="D23" s="84"/>
      <c r="E23" s="84"/>
      <c r="F23" s="10"/>
      <c r="G23" s="90"/>
    </row>
    <row r="24" spans="2:14">
      <c r="B24" s="14"/>
      <c r="C24" s="88"/>
      <c r="D24" s="14"/>
      <c r="F24" s="10"/>
      <c r="G24" s="90"/>
    </row>
    <row r="25" spans="2:14">
      <c r="B25" s="14"/>
      <c r="C25" s="88"/>
      <c r="D25" s="14"/>
      <c r="F25" s="10"/>
      <c r="G25" s="90"/>
    </row>
    <row r="26" spans="2:14">
      <c r="B26" s="14"/>
      <c r="C26" s="88"/>
      <c r="D26" s="14"/>
      <c r="F26" s="10"/>
      <c r="G26" s="90"/>
    </row>
    <row r="27" spans="2:14">
      <c r="B27" s="14"/>
      <c r="C27" s="88"/>
      <c r="D27" s="14"/>
      <c r="F27" s="10"/>
      <c r="G27" s="90"/>
    </row>
    <row r="28" spans="2:14">
      <c r="B28" s="14"/>
      <c r="C28" s="88"/>
      <c r="D28" s="14"/>
      <c r="F28" s="10"/>
      <c r="G28" s="90"/>
    </row>
    <row r="29" spans="2:14">
      <c r="B29" s="14"/>
      <c r="C29" s="88"/>
      <c r="D29" s="14"/>
      <c r="F29" s="10"/>
      <c r="G29" s="90"/>
    </row>
    <row r="30" spans="2:14">
      <c r="B30" s="14"/>
      <c r="C30" s="88"/>
      <c r="D30" s="14"/>
      <c r="F30" s="10"/>
      <c r="G30" s="90"/>
    </row>
    <row r="31" spans="2:14">
      <c r="B31" s="14"/>
      <c r="C31" s="88"/>
      <c r="D31" s="14"/>
      <c r="F31" s="10"/>
      <c r="G31" s="90"/>
    </row>
    <row r="32" spans="2:14">
      <c r="B32" s="14"/>
      <c r="C32" s="88"/>
      <c r="D32" s="14"/>
      <c r="F32" s="10"/>
      <c r="G32" s="90"/>
    </row>
    <row r="33" spans="2:14">
      <c r="B33" s="14"/>
      <c r="C33" s="88"/>
      <c r="D33" s="14"/>
      <c r="F33" s="10"/>
      <c r="G33" s="90"/>
    </row>
    <row r="34" spans="2:14">
      <c r="B34" s="14"/>
      <c r="C34" s="88"/>
      <c r="D34" s="14"/>
      <c r="F34" s="10"/>
      <c r="G34" s="90"/>
    </row>
    <row r="35" spans="2:14">
      <c r="B35" s="14"/>
      <c r="C35" s="88"/>
      <c r="D35" s="14"/>
      <c r="F35" s="10"/>
      <c r="G35" s="90"/>
    </row>
    <row r="36" spans="2:14">
      <c r="B36" s="14"/>
      <c r="C36" s="88"/>
      <c r="D36" s="14"/>
      <c r="F36" s="10"/>
      <c r="G36" s="90"/>
    </row>
    <row r="37" spans="2:14">
      <c r="B37" s="14"/>
      <c r="C37" s="88"/>
      <c r="D37" s="14"/>
      <c r="F37" s="10"/>
      <c r="G37" s="90"/>
    </row>
    <row r="38" spans="2:14">
      <c r="B38" s="11" t="s">
        <v>99</v>
      </c>
      <c r="C38" s="13"/>
      <c r="D38" s="11"/>
      <c r="E38" s="11"/>
      <c r="F38" s="12"/>
      <c r="G38" s="92"/>
      <c r="H38" s="11"/>
      <c r="I38" s="11"/>
      <c r="J38" s="11"/>
      <c r="K38" s="11"/>
      <c r="L38" s="13"/>
      <c r="M38" s="13"/>
      <c r="N38" s="11"/>
    </row>
    <row r="39" spans="2:14">
      <c r="B39" s="14"/>
      <c r="C39" s="88"/>
      <c r="D39" s="14"/>
      <c r="E39" t="s">
        <v>100</v>
      </c>
      <c r="F39" s="10">
        <v>50966.83</v>
      </c>
      <c r="G39" s="90">
        <v>46143</v>
      </c>
      <c r="H39" t="s">
        <v>42</v>
      </c>
      <c r="I39" t="s">
        <v>43</v>
      </c>
      <c r="J39" t="s">
        <v>101</v>
      </c>
      <c r="K39" t="s">
        <v>102</v>
      </c>
      <c r="L39" s="9" t="s">
        <v>103</v>
      </c>
      <c r="M39" s="91">
        <v>45726</v>
      </c>
      <c r="N39" t="s">
        <v>104</v>
      </c>
    </row>
    <row r="40" spans="2:14">
      <c r="B40" s="14"/>
      <c r="C40" s="88"/>
      <c r="D40" s="14"/>
      <c r="F40" s="10"/>
      <c r="G40" s="90"/>
    </row>
    <row r="41" spans="2:14">
      <c r="B41" s="14"/>
      <c r="C41" s="88"/>
      <c r="D41" s="14"/>
      <c r="F41" s="10"/>
      <c r="G41" s="90"/>
    </row>
    <row r="42" spans="2:14">
      <c r="B42" s="14"/>
      <c r="C42" s="88"/>
      <c r="D42" s="14"/>
      <c r="F42" s="10"/>
      <c r="G42" s="90"/>
    </row>
    <row r="43" spans="2:14">
      <c r="B43" s="14"/>
      <c r="C43" s="88"/>
      <c r="D43" s="14"/>
      <c r="F43" s="10"/>
      <c r="G43" s="90"/>
    </row>
    <row r="44" spans="2:14">
      <c r="B44" s="14"/>
      <c r="C44" s="88"/>
      <c r="D44" s="14"/>
      <c r="F44" s="10"/>
      <c r="G44" s="90"/>
    </row>
    <row r="45" spans="2:14">
      <c r="B45" s="14"/>
      <c r="C45" s="88"/>
      <c r="D45" s="14"/>
      <c r="F45" s="10"/>
      <c r="G45" s="90"/>
    </row>
    <row r="46" spans="2:14">
      <c r="B46" s="14"/>
      <c r="C46" s="88"/>
      <c r="D46" s="14"/>
      <c r="F46" s="10"/>
      <c r="G46" s="90"/>
    </row>
    <row r="47" spans="2:14">
      <c r="B47" s="14"/>
      <c r="C47" s="88"/>
      <c r="D47" s="14"/>
      <c r="F47" s="10"/>
      <c r="G47" s="90"/>
    </row>
    <row r="48" spans="2:14">
      <c r="B48" s="14"/>
      <c r="C48" s="88"/>
      <c r="D48" s="14"/>
      <c r="F48" s="10"/>
      <c r="G48" s="90"/>
    </row>
    <row r="49" spans="2:14">
      <c r="B49" s="14"/>
      <c r="C49" s="88"/>
      <c r="D49" s="14"/>
      <c r="F49" s="10"/>
      <c r="G49" s="90"/>
    </row>
    <row r="50" spans="2:14">
      <c r="B50" s="14"/>
      <c r="C50" s="88"/>
      <c r="D50" s="14"/>
      <c r="F50" s="10"/>
      <c r="G50" s="90"/>
    </row>
    <row r="51" spans="2:14">
      <c r="B51" s="14"/>
      <c r="C51" s="88"/>
      <c r="D51" s="14"/>
      <c r="F51" s="10"/>
      <c r="G51" s="90"/>
    </row>
    <row r="52" spans="2:14">
      <c r="B52" s="14"/>
      <c r="C52" s="88"/>
      <c r="D52" s="14"/>
      <c r="F52" s="10"/>
      <c r="G52" s="90"/>
    </row>
    <row r="53" spans="2:14">
      <c r="B53" s="14"/>
      <c r="C53" s="88"/>
      <c r="D53" s="14"/>
      <c r="F53" s="10"/>
      <c r="G53" s="90"/>
    </row>
    <row r="54" spans="2:14">
      <c r="B54" s="11" t="s">
        <v>105</v>
      </c>
      <c r="C54" s="13"/>
      <c r="D54" s="11"/>
      <c r="E54" s="11"/>
      <c r="F54" s="12"/>
      <c r="G54" s="92"/>
      <c r="H54" s="11"/>
      <c r="I54" s="11"/>
      <c r="J54" s="11"/>
      <c r="K54" s="11"/>
      <c r="L54" s="13"/>
      <c r="M54" s="13"/>
      <c r="N54" s="11"/>
    </row>
    <row r="55" spans="2:14">
      <c r="B55" s="14"/>
      <c r="C55" s="88"/>
      <c r="D55" s="14"/>
      <c r="F55" s="10"/>
      <c r="G55" s="90"/>
    </row>
    <row r="56" spans="2:14">
      <c r="B56" s="14"/>
      <c r="C56" s="88"/>
      <c r="D56" s="14"/>
      <c r="F56" s="10"/>
      <c r="G56" s="90"/>
    </row>
    <row r="57" spans="2:14">
      <c r="B57" s="14"/>
      <c r="C57" s="88"/>
      <c r="D57" s="14"/>
      <c r="F57" s="10"/>
      <c r="G57" s="90"/>
    </row>
    <row r="58" spans="2:14">
      <c r="B58" s="14"/>
      <c r="C58" s="88"/>
      <c r="D58" s="14"/>
      <c r="F58" s="10"/>
      <c r="G58" s="90"/>
    </row>
    <row r="59" spans="2:14">
      <c r="B59" s="14"/>
      <c r="C59" s="88"/>
      <c r="D59" s="14"/>
      <c r="F59" s="10"/>
      <c r="G59" s="90"/>
    </row>
    <row r="60" spans="2:14">
      <c r="B60" s="14"/>
      <c r="C60" s="88"/>
      <c r="D60" s="14"/>
      <c r="F60" s="10"/>
      <c r="G60" s="90"/>
    </row>
    <row r="61" spans="2:14">
      <c r="B61" s="14"/>
      <c r="C61" s="88"/>
      <c r="D61" s="14"/>
      <c r="F61" s="10"/>
      <c r="G61" s="90"/>
    </row>
    <row r="62" spans="2:14">
      <c r="B62" s="14"/>
      <c r="C62" s="88"/>
      <c r="D62" s="14"/>
      <c r="F62" s="10"/>
      <c r="G62" s="90"/>
    </row>
    <row r="63" spans="2:14">
      <c r="B63" s="14"/>
      <c r="C63" s="88"/>
      <c r="D63" s="14"/>
      <c r="F63" s="10"/>
      <c r="G63" s="90"/>
    </row>
    <row r="64" spans="2:14">
      <c r="B64" s="14"/>
      <c r="C64" s="88"/>
      <c r="D64" s="14"/>
      <c r="F64" s="10"/>
      <c r="G64" s="90"/>
    </row>
    <row r="65" spans="2:14">
      <c r="B65" s="11"/>
      <c r="C65" s="13"/>
      <c r="D65" s="11"/>
      <c r="E65" s="11"/>
      <c r="F65" s="12"/>
      <c r="G65" s="92"/>
      <c r="H65" s="11"/>
      <c r="I65" s="11"/>
      <c r="J65" s="11"/>
      <c r="K65" s="11"/>
      <c r="L65" s="13"/>
      <c r="M65" s="13"/>
      <c r="N65" s="11"/>
    </row>
    <row r="66" spans="2:14">
      <c r="B66" s="14"/>
      <c r="C66" s="88"/>
      <c r="D66" s="14"/>
      <c r="F66" s="10"/>
      <c r="G66" s="90"/>
    </row>
    <row r="67" spans="2:14">
      <c r="B67" s="14"/>
      <c r="C67" s="88"/>
      <c r="D67" s="14"/>
      <c r="F67" s="10"/>
      <c r="G67" s="90"/>
    </row>
    <row r="68" spans="2:14">
      <c r="B68" s="14"/>
      <c r="C68" s="88"/>
      <c r="D68" s="14"/>
      <c r="F68" s="10"/>
      <c r="G68" s="90"/>
    </row>
    <row r="69" spans="2:14">
      <c r="B69" s="14"/>
      <c r="C69" s="88"/>
      <c r="D69" s="14"/>
      <c r="F69" s="10"/>
      <c r="G69" s="90"/>
    </row>
    <row r="70" spans="2:14">
      <c r="B70" s="14"/>
      <c r="C70" s="88"/>
      <c r="D70" s="14"/>
      <c r="F70" s="10"/>
      <c r="G70" s="90"/>
    </row>
    <row r="71" spans="2:14">
      <c r="B71" s="14"/>
      <c r="C71" s="88"/>
      <c r="D71" s="14"/>
      <c r="F71" s="10"/>
      <c r="G71" s="90"/>
    </row>
    <row r="72" spans="2:14">
      <c r="B72" s="14"/>
      <c r="C72" s="88"/>
      <c r="D72" s="14"/>
      <c r="F72" s="10"/>
      <c r="G72" s="90"/>
    </row>
    <row r="73" spans="2:14">
      <c r="B73" s="14"/>
      <c r="C73" s="88"/>
      <c r="D73" s="14"/>
      <c r="F73" s="10"/>
      <c r="G73" s="90"/>
    </row>
    <row r="74" spans="2:14">
      <c r="B74" s="14"/>
      <c r="C74" s="88"/>
      <c r="D74" s="14"/>
      <c r="F74" s="10"/>
      <c r="G74" s="90"/>
    </row>
    <row r="75" spans="2:14">
      <c r="B75" s="14"/>
      <c r="C75" s="88"/>
      <c r="D75" s="14"/>
      <c r="F75" s="10"/>
      <c r="G75" s="90"/>
    </row>
    <row r="76" spans="2:14">
      <c r="B76" s="11"/>
      <c r="C76" s="13"/>
      <c r="D76" s="11"/>
      <c r="E76" s="11"/>
      <c r="F76" s="12"/>
      <c r="G76" s="92"/>
      <c r="H76" s="11"/>
      <c r="I76" s="11"/>
      <c r="J76" s="11"/>
      <c r="K76" s="11"/>
      <c r="L76" s="13"/>
      <c r="M76" s="13"/>
      <c r="N76" s="11"/>
    </row>
    <row r="77" spans="2:14">
      <c r="B77" s="14"/>
      <c r="C77" s="88"/>
      <c r="D77" s="14"/>
      <c r="F77" s="10"/>
      <c r="G77" s="90"/>
    </row>
    <row r="78" spans="2:14">
      <c r="B78" s="14"/>
      <c r="C78" s="88"/>
      <c r="D78" s="14"/>
      <c r="F78" s="10"/>
      <c r="G78" s="90"/>
    </row>
    <row r="79" spans="2:14">
      <c r="B79" s="14"/>
      <c r="C79" s="88"/>
      <c r="D79" s="14"/>
      <c r="F79" s="10"/>
      <c r="G79" s="90"/>
    </row>
    <row r="80" spans="2:14">
      <c r="B80" s="14"/>
      <c r="C80" s="88"/>
      <c r="D80" s="14"/>
      <c r="F80" s="10"/>
      <c r="G80" s="90"/>
    </row>
    <row r="81" spans="2:14">
      <c r="B81" s="14"/>
      <c r="C81" s="88"/>
      <c r="D81" s="14"/>
      <c r="E81" s="84"/>
      <c r="F81" s="10"/>
      <c r="G81" s="90"/>
    </row>
    <row r="82" spans="2:14">
      <c r="B82" s="14"/>
      <c r="C82" s="88"/>
      <c r="D82" s="14"/>
      <c r="E82" s="84"/>
      <c r="F82" s="10"/>
      <c r="G82" s="90"/>
    </row>
    <row r="83" spans="2:14">
      <c r="B83" s="14"/>
      <c r="C83" s="88"/>
      <c r="D83" s="14"/>
      <c r="F83" s="10"/>
      <c r="G83" s="90"/>
    </row>
    <row r="84" spans="2:14">
      <c r="B84" s="14"/>
      <c r="C84" s="88"/>
      <c r="D84" s="14"/>
      <c r="F84" s="10"/>
      <c r="G84" s="90"/>
    </row>
    <row r="85" spans="2:14">
      <c r="B85" s="14"/>
      <c r="C85" s="88"/>
      <c r="D85" s="14"/>
      <c r="F85" s="10"/>
      <c r="G85" s="90"/>
    </row>
    <row r="86" spans="2:14">
      <c r="B86" s="14"/>
      <c r="C86" s="88"/>
      <c r="D86" s="14"/>
      <c r="F86" s="10"/>
      <c r="G86" s="90"/>
    </row>
    <row r="87" spans="2:14">
      <c r="B87" s="11"/>
      <c r="C87" s="13"/>
      <c r="D87" s="11"/>
      <c r="E87" s="11"/>
      <c r="F87" s="12"/>
      <c r="G87" s="92"/>
      <c r="H87" s="11"/>
      <c r="I87" s="11"/>
      <c r="J87" s="11"/>
      <c r="K87" s="11"/>
      <c r="L87" s="13"/>
      <c r="M87" s="13"/>
      <c r="N87" s="11"/>
    </row>
    <row r="88" spans="2:14">
      <c r="B88" s="14"/>
      <c r="F88" s="10"/>
      <c r="G88" s="90"/>
    </row>
    <row r="89" spans="2:14">
      <c r="B89" s="14"/>
      <c r="F89" s="10"/>
      <c r="G89" s="90"/>
    </row>
    <row r="90" spans="2:14">
      <c r="B90" s="14"/>
      <c r="F90" s="10"/>
      <c r="G90" s="90"/>
    </row>
    <row r="91" spans="2:14">
      <c r="B91" s="14"/>
      <c r="F91" s="10"/>
      <c r="G91" s="90"/>
    </row>
    <row r="92" spans="2:14">
      <c r="B92" s="14"/>
      <c r="F92" s="10"/>
      <c r="G92" s="90"/>
    </row>
    <row r="93" spans="2:14">
      <c r="B93" s="14"/>
      <c r="F93" s="10"/>
      <c r="G93" s="90"/>
    </row>
    <row r="94" spans="2:14">
      <c r="B94" s="14"/>
      <c r="F94" s="10"/>
      <c r="G94" s="90"/>
    </row>
    <row r="95" spans="2:14">
      <c r="B95" s="14"/>
      <c r="F95" s="10"/>
      <c r="G95" s="90"/>
    </row>
    <row r="96" spans="2:14">
      <c r="B96" s="14"/>
      <c r="F96" s="10"/>
      <c r="G96" s="90"/>
    </row>
    <row r="97" spans="2:7">
      <c r="B97" s="14"/>
      <c r="F97" s="10"/>
      <c r="G97" s="90"/>
    </row>
    <row r="98" spans="2:7">
      <c r="B98" s="14"/>
      <c r="F98" s="10"/>
      <c r="G98" s="90"/>
    </row>
    <row r="99" spans="2:7">
      <c r="B99" s="14"/>
      <c r="F99" s="10"/>
      <c r="G99" s="90"/>
    </row>
    <row r="100" spans="2:7">
      <c r="B100" s="14"/>
      <c r="F100" s="10"/>
      <c r="G100" s="90"/>
    </row>
    <row r="101" spans="2:7">
      <c r="B101" s="14"/>
      <c r="F101" s="10"/>
      <c r="G101" s="90"/>
    </row>
    <row r="102" spans="2:7">
      <c r="B102" s="14"/>
      <c r="F102" s="10"/>
      <c r="G102" s="90"/>
    </row>
    <row r="103" spans="2:7">
      <c r="B103" s="14"/>
      <c r="F103" s="10"/>
      <c r="G103" s="90"/>
    </row>
    <row r="104" spans="2:7">
      <c r="B104" s="14"/>
      <c r="F104" s="10"/>
      <c r="G104" s="90"/>
    </row>
    <row r="105" spans="2:7">
      <c r="B105" s="14"/>
      <c r="F105" s="10"/>
      <c r="G105" s="90"/>
    </row>
    <row r="106" spans="2:7">
      <c r="B106" s="14"/>
      <c r="F106" s="10"/>
      <c r="G106" s="90"/>
    </row>
    <row r="107" spans="2:7">
      <c r="B107" s="14"/>
      <c r="F107" s="10"/>
      <c r="G107" s="90"/>
    </row>
    <row r="108" spans="2:7">
      <c r="B108" s="14"/>
      <c r="F108" s="10"/>
      <c r="G108" s="90"/>
    </row>
    <row r="109" spans="2:7">
      <c r="B109" s="14"/>
      <c r="F109" s="10"/>
      <c r="G109" s="91"/>
    </row>
    <row r="110" spans="2:7">
      <c r="B110" s="14"/>
      <c r="F110" s="10"/>
      <c r="G110" s="91"/>
    </row>
    <row r="111" spans="2:7">
      <c r="F111" s="10"/>
      <c r="G111" s="91"/>
    </row>
    <row r="112" spans="2:7">
      <c r="F112" s="10"/>
      <c r="G112" s="91"/>
    </row>
    <row r="113" spans="6:7">
      <c r="F113" s="10"/>
      <c r="G113" s="91"/>
    </row>
    <row r="114" spans="6:7">
      <c r="F114" s="10"/>
      <c r="G114" s="91"/>
    </row>
    <row r="115" spans="6:7">
      <c r="F115" s="10"/>
      <c r="G115" s="91"/>
    </row>
    <row r="116" spans="6:7">
      <c r="F116" s="10"/>
      <c r="G116" s="91"/>
    </row>
    <row r="117" spans="6:7">
      <c r="F117" s="10"/>
      <c r="G117" s="10"/>
    </row>
    <row r="118" spans="6:7">
      <c r="F118" s="10"/>
      <c r="G118" s="10"/>
    </row>
    <row r="119" spans="6:7">
      <c r="F119" s="10"/>
      <c r="G119" s="10"/>
    </row>
    <row r="120" spans="6:7">
      <c r="F120" s="10"/>
      <c r="G120" s="10"/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B7C2FC7-F85C-46F9-BEFB-C5C96C03F550}">
          <x14:formula1>
            <xm:f>Dropdown!$F$4:$F$7</xm:f>
          </x14:formula1>
          <xm:sqref>C6:C100</xm:sqref>
        </x14:dataValidation>
        <x14:dataValidation type="list" allowBlank="1" showInputMessage="1" showErrorMessage="1" xr:uid="{ABA43336-61AC-4821-884F-B5F282227AC5}">
          <x14:formula1>
            <xm:f>Dropdown!$I$4:$I$8</xm:f>
          </x14:formula1>
          <xm:sqref>D6:D100</xm:sqref>
        </x14:dataValidation>
        <x14:dataValidation type="list" allowBlank="1" showInputMessage="1" showErrorMessage="1" xr:uid="{4E4F66BD-3038-4CC1-9C72-885EE727203F}">
          <x14:formula1>
            <xm:f>Dropdown!$B$4:$B$9</xm:f>
          </x14:formula1>
          <xm:sqref>H6:H100</xm:sqref>
        </x14:dataValidation>
        <x14:dataValidation type="list" allowBlank="1" showInputMessage="1" showErrorMessage="1" xr:uid="{3EA70AEA-413D-40C5-B950-6A8B4F98887F}">
          <x14:formula1>
            <xm:f>Dropdown!$B$23:$B$27</xm:f>
          </x14:formula1>
          <xm:sqref>I6:I100</xm:sqref>
        </x14:dataValidation>
        <x14:dataValidation type="list" allowBlank="1" showInputMessage="1" showErrorMessage="1" xr:uid="{0EB46947-E58D-4FA2-9776-29C721470C1F}">
          <x14:formula1>
            <xm:f>Dropdown!$D$4:$D$13</xm:f>
          </x14:formula1>
          <xm:sqref>L6:L100</xm:sqref>
        </x14:dataValidation>
        <x14:dataValidation type="list" allowBlank="1" showInputMessage="1" showErrorMessage="1" xr:uid="{5CDD5930-E818-4238-AB67-FC728B6E0495}">
          <x14:formula1>
            <xm:f>Dropdown!$J$4:$J$26</xm:f>
          </x14:formula1>
          <xm:sqref>G6:G100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F959-ABA1-4D50-B9A1-4FEFBC232ADE}">
  <dimension ref="A1:S120"/>
  <sheetViews>
    <sheetView zoomScale="76" workbookViewId="0">
      <pane xSplit="1" ySplit="5" topLeftCell="B6" activePane="bottomRight" state="frozen"/>
      <selection pane="bottomRight" activeCell="E65" sqref="E65"/>
      <selection pane="bottomLeft" activeCell="A6" sqref="A6"/>
      <selection pane="topRight" activeCell="B1" sqref="B1"/>
    </sheetView>
  </sheetViews>
  <sheetFormatPr defaultColWidth="11.42578125" defaultRowHeight="14.45"/>
  <cols>
    <col min="1" max="1" width="11.42578125" style="3"/>
    <col min="2" max="2" width="32.7109375" customWidth="1"/>
    <col min="3" max="3" width="16.85546875" style="9" customWidth="1"/>
    <col min="4" max="4" width="15.7109375" customWidth="1"/>
    <col min="5" max="5" width="57.85546875" customWidth="1"/>
    <col min="6" max="6" width="13.140625" style="9" customWidth="1"/>
    <col min="7" max="7" width="21.28515625" style="9" customWidth="1"/>
    <col min="8" max="9" width="23.7109375" customWidth="1"/>
    <col min="10" max="11" width="42.140625" customWidth="1"/>
    <col min="12" max="12" width="34" style="9" customWidth="1"/>
    <col min="13" max="13" width="26.28515625" style="9" customWidth="1"/>
    <col min="14" max="14" width="53.7109375" customWidth="1"/>
    <col min="15" max="19" width="11.42578125" style="3"/>
  </cols>
  <sheetData>
    <row r="1" spans="2:14" s="3" customFormat="1">
      <c r="C1" s="7"/>
      <c r="F1" s="7"/>
      <c r="G1" s="7"/>
      <c r="L1" s="7"/>
      <c r="M1" s="7"/>
    </row>
    <row r="2" spans="2:14" s="3" customFormat="1" ht="18.600000000000001">
      <c r="B2" s="5" t="s">
        <v>19</v>
      </c>
      <c r="C2" s="85"/>
      <c r="D2" s="5"/>
      <c r="F2" s="7"/>
      <c r="G2" s="7"/>
      <c r="L2" s="7"/>
      <c r="M2" s="7"/>
    </row>
    <row r="3" spans="2:14" s="3" customFormat="1">
      <c r="B3" s="4" t="s">
        <v>21</v>
      </c>
      <c r="C3" s="86"/>
      <c r="D3" s="4"/>
      <c r="F3" s="7"/>
      <c r="G3" s="7"/>
      <c r="L3" s="7"/>
      <c r="M3" s="7"/>
    </row>
    <row r="4" spans="2:14" s="3" customFormat="1" ht="36" customHeight="1">
      <c r="C4" s="7"/>
      <c r="F4" s="93">
        <f>SUM(F6+F22+F38+F54+F65+F87+F76)</f>
        <v>0</v>
      </c>
      <c r="G4" s="7"/>
      <c r="L4" s="7"/>
      <c r="M4" s="7"/>
    </row>
    <row r="5" spans="2:14" s="15" customFormat="1" ht="27.75" customHeight="1">
      <c r="B5" s="15" t="s">
        <v>24</v>
      </c>
      <c r="C5" s="16" t="s">
        <v>25</v>
      </c>
      <c r="D5" s="15" t="s">
        <v>26</v>
      </c>
      <c r="E5" s="15" t="s">
        <v>27</v>
      </c>
      <c r="F5" s="16" t="s">
        <v>28</v>
      </c>
      <c r="G5" s="16" t="s">
        <v>29</v>
      </c>
      <c r="H5" s="15" t="s">
        <v>30</v>
      </c>
      <c r="I5" s="15" t="s">
        <v>31</v>
      </c>
      <c r="J5" s="15" t="s">
        <v>32</v>
      </c>
      <c r="K5" s="15" t="s">
        <v>33</v>
      </c>
      <c r="L5" s="16" t="s">
        <v>34</v>
      </c>
      <c r="M5" s="16" t="s">
        <v>35</v>
      </c>
      <c r="N5" s="15" t="s">
        <v>37</v>
      </c>
    </row>
    <row r="6" spans="2:14">
      <c r="B6" s="11"/>
      <c r="C6" s="13"/>
      <c r="D6" s="11"/>
      <c r="E6" s="11"/>
      <c r="F6" s="12"/>
      <c r="G6" s="12"/>
      <c r="H6" s="11"/>
      <c r="I6" s="11"/>
      <c r="J6" s="11"/>
      <c r="K6" s="11"/>
      <c r="L6" s="13"/>
      <c r="M6" s="13"/>
      <c r="N6" s="11"/>
    </row>
    <row r="7" spans="2:14">
      <c r="B7" s="14"/>
      <c r="C7" s="87"/>
      <c r="D7" s="84"/>
      <c r="E7" s="84"/>
      <c r="F7" s="10"/>
      <c r="G7" s="90"/>
    </row>
    <row r="8" spans="2:14">
      <c r="B8" s="14"/>
      <c r="C8" s="87"/>
      <c r="D8" s="84"/>
      <c r="F8" s="10"/>
      <c r="G8" s="90"/>
    </row>
    <row r="9" spans="2:14">
      <c r="B9" s="14"/>
      <c r="C9" s="88"/>
      <c r="D9" s="14"/>
      <c r="F9" s="10"/>
      <c r="G9" s="90"/>
    </row>
    <row r="10" spans="2:14">
      <c r="B10" s="14"/>
      <c r="C10" s="88"/>
      <c r="D10" s="14"/>
      <c r="F10" s="10"/>
      <c r="G10" s="90"/>
    </row>
    <row r="11" spans="2:14">
      <c r="B11" s="14"/>
      <c r="C11" s="88"/>
      <c r="D11" s="14"/>
      <c r="F11" s="10"/>
      <c r="G11" s="90"/>
    </row>
    <row r="12" spans="2:14">
      <c r="B12" s="14"/>
      <c r="C12" s="88"/>
      <c r="D12" s="14"/>
      <c r="F12" s="10"/>
      <c r="G12" s="90"/>
    </row>
    <row r="13" spans="2:14">
      <c r="B13" s="14"/>
      <c r="C13" s="88"/>
      <c r="D13" s="14"/>
      <c r="F13" s="10"/>
      <c r="G13" s="90"/>
    </row>
    <row r="14" spans="2:14">
      <c r="B14" s="14"/>
      <c r="C14" s="88"/>
      <c r="D14" s="14"/>
      <c r="F14" s="10"/>
      <c r="G14" s="90"/>
    </row>
    <row r="15" spans="2:14">
      <c r="B15" s="14"/>
      <c r="C15" s="88"/>
      <c r="D15" s="14"/>
      <c r="F15" s="10"/>
      <c r="G15" s="90"/>
    </row>
    <row r="16" spans="2:14">
      <c r="B16" s="14"/>
      <c r="C16" s="88"/>
      <c r="D16" s="14"/>
      <c r="F16" s="10"/>
      <c r="G16" s="90"/>
    </row>
    <row r="17" spans="2:14">
      <c r="B17" s="14"/>
      <c r="C17" s="88"/>
      <c r="D17" s="14"/>
      <c r="F17" s="10"/>
      <c r="G17" s="90"/>
    </row>
    <row r="18" spans="2:14">
      <c r="B18" s="14"/>
      <c r="C18" s="88"/>
      <c r="D18" s="14"/>
      <c r="F18" s="10"/>
      <c r="G18" s="90"/>
    </row>
    <row r="19" spans="2:14">
      <c r="B19" s="14"/>
      <c r="C19" s="88"/>
      <c r="D19" s="14"/>
      <c r="F19" s="10"/>
      <c r="G19" s="90"/>
    </row>
    <row r="20" spans="2:14">
      <c r="B20" s="14"/>
      <c r="C20" s="88"/>
      <c r="D20" s="14"/>
      <c r="F20" s="10"/>
      <c r="G20" s="90"/>
    </row>
    <row r="21" spans="2:14">
      <c r="B21" s="14"/>
      <c r="C21" s="88"/>
      <c r="D21" s="14"/>
      <c r="F21" s="10"/>
      <c r="G21" s="90"/>
    </row>
    <row r="22" spans="2:14">
      <c r="B22" s="11"/>
      <c r="C22" s="13"/>
      <c r="D22" s="11"/>
      <c r="E22" s="11"/>
      <c r="F22" s="12"/>
      <c r="G22" s="92"/>
      <c r="H22" s="11"/>
      <c r="I22" s="11"/>
      <c r="J22" s="11"/>
      <c r="K22" s="11"/>
      <c r="L22" s="13"/>
      <c r="M22" s="13"/>
      <c r="N22" s="11"/>
    </row>
    <row r="23" spans="2:14">
      <c r="B23" s="14"/>
      <c r="C23" s="87"/>
      <c r="D23" s="84"/>
      <c r="E23" s="84"/>
      <c r="F23" s="10"/>
      <c r="G23" s="90"/>
    </row>
    <row r="24" spans="2:14">
      <c r="B24" s="14"/>
      <c r="C24" s="88"/>
      <c r="D24" s="14"/>
      <c r="F24" s="10"/>
      <c r="G24" s="90"/>
    </row>
    <row r="25" spans="2:14">
      <c r="B25" s="14"/>
      <c r="C25" s="88"/>
      <c r="D25" s="14"/>
      <c r="F25" s="10"/>
      <c r="G25" s="90"/>
    </row>
    <row r="26" spans="2:14">
      <c r="B26" s="14"/>
      <c r="C26" s="88"/>
      <c r="D26" s="14"/>
      <c r="F26" s="10"/>
      <c r="G26" s="90"/>
    </row>
    <row r="27" spans="2:14">
      <c r="B27" s="14"/>
      <c r="C27" s="88"/>
      <c r="D27" s="14"/>
      <c r="F27" s="10"/>
      <c r="G27" s="90"/>
    </row>
    <row r="28" spans="2:14">
      <c r="B28" s="14"/>
      <c r="C28" s="88"/>
      <c r="D28" s="14"/>
      <c r="F28" s="10"/>
      <c r="G28" s="90"/>
    </row>
    <row r="29" spans="2:14">
      <c r="B29" s="14"/>
      <c r="C29" s="88"/>
      <c r="D29" s="14"/>
      <c r="F29" s="10"/>
      <c r="G29" s="90"/>
    </row>
    <row r="30" spans="2:14">
      <c r="B30" s="14"/>
      <c r="C30" s="88"/>
      <c r="D30" s="14"/>
      <c r="F30" s="10"/>
      <c r="G30" s="90"/>
    </row>
    <row r="31" spans="2:14">
      <c r="B31" s="14"/>
      <c r="C31" s="88"/>
      <c r="D31" s="14"/>
      <c r="F31" s="10"/>
      <c r="G31" s="90"/>
    </row>
    <row r="32" spans="2:14">
      <c r="B32" s="14"/>
      <c r="C32" s="88"/>
      <c r="D32" s="14"/>
      <c r="F32" s="10"/>
      <c r="G32" s="90"/>
    </row>
    <row r="33" spans="2:14">
      <c r="B33" s="14"/>
      <c r="C33" s="88"/>
      <c r="D33" s="14"/>
      <c r="F33" s="10"/>
      <c r="G33" s="90"/>
    </row>
    <row r="34" spans="2:14">
      <c r="B34" s="14"/>
      <c r="C34" s="88"/>
      <c r="D34" s="14"/>
      <c r="F34" s="10"/>
      <c r="G34" s="90"/>
    </row>
    <row r="35" spans="2:14">
      <c r="B35" s="14"/>
      <c r="C35" s="88"/>
      <c r="D35" s="14"/>
      <c r="F35" s="10"/>
      <c r="G35" s="90"/>
    </row>
    <row r="36" spans="2:14">
      <c r="B36" s="14"/>
      <c r="C36" s="88"/>
      <c r="D36" s="14"/>
      <c r="F36" s="10"/>
      <c r="G36" s="90"/>
    </row>
    <row r="37" spans="2:14">
      <c r="B37" s="14"/>
      <c r="C37" s="88"/>
      <c r="D37" s="14"/>
      <c r="F37" s="10"/>
      <c r="G37" s="90"/>
    </row>
    <row r="38" spans="2:14">
      <c r="B38" s="11"/>
      <c r="C38" s="13"/>
      <c r="D38" s="11"/>
      <c r="E38" s="11"/>
      <c r="F38" s="12"/>
      <c r="G38" s="92"/>
      <c r="H38" s="11"/>
      <c r="I38" s="11"/>
      <c r="J38" s="11"/>
      <c r="K38" s="11"/>
      <c r="L38" s="13"/>
      <c r="M38" s="13"/>
      <c r="N38" s="11"/>
    </row>
    <row r="39" spans="2:14">
      <c r="B39" s="14"/>
      <c r="C39" s="88"/>
      <c r="D39" s="14"/>
      <c r="F39" s="10"/>
      <c r="G39" s="90"/>
    </row>
    <row r="40" spans="2:14">
      <c r="B40" s="14"/>
      <c r="C40" s="88"/>
      <c r="D40" s="14"/>
      <c r="F40" s="10"/>
      <c r="G40" s="90"/>
    </row>
    <row r="41" spans="2:14">
      <c r="B41" s="14"/>
      <c r="C41" s="88"/>
      <c r="D41" s="14"/>
      <c r="F41" s="10"/>
      <c r="G41" s="90"/>
    </row>
    <row r="42" spans="2:14">
      <c r="B42" s="14"/>
      <c r="C42" s="88"/>
      <c r="D42" s="14"/>
      <c r="F42" s="10"/>
      <c r="G42" s="90"/>
    </row>
    <row r="43" spans="2:14">
      <c r="B43" s="14"/>
      <c r="C43" s="88"/>
      <c r="D43" s="14"/>
      <c r="F43" s="10"/>
      <c r="G43" s="90"/>
    </row>
    <row r="44" spans="2:14">
      <c r="B44" s="14"/>
      <c r="C44" s="88"/>
      <c r="D44" s="14"/>
      <c r="F44" s="10"/>
      <c r="G44" s="90"/>
    </row>
    <row r="45" spans="2:14">
      <c r="B45" s="14"/>
      <c r="C45" s="88"/>
      <c r="D45" s="14"/>
      <c r="F45" s="10"/>
      <c r="G45" s="90"/>
    </row>
    <row r="46" spans="2:14">
      <c r="B46" s="14"/>
      <c r="C46" s="88"/>
      <c r="D46" s="14"/>
      <c r="F46" s="10"/>
      <c r="G46" s="90"/>
    </row>
    <row r="47" spans="2:14">
      <c r="B47" s="14"/>
      <c r="C47" s="88"/>
      <c r="D47" s="14"/>
      <c r="F47" s="10"/>
      <c r="G47" s="90"/>
    </row>
    <row r="48" spans="2:14">
      <c r="B48" s="14"/>
      <c r="C48" s="88"/>
      <c r="D48" s="14"/>
      <c r="F48" s="10"/>
      <c r="G48" s="90"/>
    </row>
    <row r="49" spans="2:14">
      <c r="B49" s="14"/>
      <c r="C49" s="88"/>
      <c r="D49" s="14"/>
      <c r="F49" s="10"/>
      <c r="G49" s="90"/>
    </row>
    <row r="50" spans="2:14">
      <c r="B50" s="14"/>
      <c r="C50" s="88"/>
      <c r="D50" s="14"/>
      <c r="F50" s="10"/>
      <c r="G50" s="90"/>
    </row>
    <row r="51" spans="2:14">
      <c r="B51" s="14"/>
      <c r="C51" s="88"/>
      <c r="D51" s="14"/>
      <c r="F51" s="10"/>
      <c r="G51" s="90"/>
    </row>
    <row r="52" spans="2:14">
      <c r="B52" s="14"/>
      <c r="C52" s="88"/>
      <c r="D52" s="14"/>
      <c r="F52" s="10"/>
      <c r="G52" s="90"/>
    </row>
    <row r="53" spans="2:14">
      <c r="B53" s="14"/>
      <c r="C53" s="88"/>
      <c r="D53" s="14"/>
      <c r="F53" s="10"/>
      <c r="G53" s="90"/>
    </row>
    <row r="54" spans="2:14">
      <c r="B54" s="11"/>
      <c r="C54" s="13"/>
      <c r="D54" s="11"/>
      <c r="E54" s="11"/>
      <c r="F54" s="12"/>
      <c r="G54" s="92"/>
      <c r="H54" s="11"/>
      <c r="I54" s="11"/>
      <c r="J54" s="11"/>
      <c r="K54" s="11"/>
      <c r="L54" s="13"/>
      <c r="M54" s="13"/>
      <c r="N54" s="11"/>
    </row>
    <row r="55" spans="2:14">
      <c r="B55" s="14"/>
      <c r="C55" s="88"/>
      <c r="D55" s="14"/>
      <c r="F55" s="10"/>
      <c r="G55" s="90"/>
    </row>
    <row r="56" spans="2:14">
      <c r="B56" s="14"/>
      <c r="C56" s="88"/>
      <c r="D56" s="14"/>
      <c r="F56" s="10"/>
      <c r="G56" s="90"/>
    </row>
    <row r="57" spans="2:14">
      <c r="B57" s="14"/>
      <c r="C57" s="88"/>
      <c r="D57" s="14"/>
      <c r="F57" s="10"/>
      <c r="G57" s="90"/>
    </row>
    <row r="58" spans="2:14">
      <c r="B58" s="14"/>
      <c r="C58" s="88"/>
      <c r="D58" s="14"/>
      <c r="F58" s="10"/>
      <c r="G58" s="90"/>
    </row>
    <row r="59" spans="2:14">
      <c r="B59" s="14"/>
      <c r="C59" s="88"/>
      <c r="D59" s="14"/>
      <c r="F59" s="10"/>
      <c r="G59" s="90"/>
    </row>
    <row r="60" spans="2:14">
      <c r="B60" s="14"/>
      <c r="C60" s="88"/>
      <c r="D60" s="14"/>
      <c r="F60" s="10"/>
      <c r="G60" s="90"/>
    </row>
    <row r="61" spans="2:14">
      <c r="B61" s="14"/>
      <c r="C61" s="88"/>
      <c r="D61" s="14"/>
      <c r="F61" s="10"/>
      <c r="G61" s="90"/>
    </row>
    <row r="62" spans="2:14">
      <c r="B62" s="14"/>
      <c r="C62" s="88"/>
      <c r="D62" s="14"/>
      <c r="F62" s="10"/>
      <c r="G62" s="90"/>
    </row>
    <row r="63" spans="2:14">
      <c r="B63" s="14"/>
      <c r="C63" s="88"/>
      <c r="D63" s="14"/>
      <c r="F63" s="10"/>
      <c r="G63" s="90"/>
    </row>
    <row r="64" spans="2:14">
      <c r="B64" s="14"/>
      <c r="C64" s="88"/>
      <c r="D64" s="14"/>
      <c r="F64" s="10"/>
      <c r="G64" s="90"/>
    </row>
    <row r="65" spans="2:14">
      <c r="B65" s="11"/>
      <c r="C65" s="13"/>
      <c r="D65" s="11"/>
      <c r="E65" s="11"/>
      <c r="F65" s="12"/>
      <c r="G65" s="92"/>
      <c r="H65" s="11"/>
      <c r="I65" s="11"/>
      <c r="J65" s="11"/>
      <c r="K65" s="11"/>
      <c r="L65" s="13"/>
      <c r="M65" s="13"/>
      <c r="N65" s="11"/>
    </row>
    <row r="66" spans="2:14">
      <c r="B66" s="14"/>
      <c r="C66" s="88"/>
      <c r="D66" s="14"/>
      <c r="F66" s="10"/>
      <c r="G66" s="90"/>
    </row>
    <row r="67" spans="2:14">
      <c r="B67" s="14"/>
      <c r="C67" s="88"/>
      <c r="D67" s="14"/>
      <c r="F67" s="10"/>
      <c r="G67" s="90"/>
    </row>
    <row r="68" spans="2:14">
      <c r="B68" s="14"/>
      <c r="C68" s="88"/>
      <c r="D68" s="14"/>
      <c r="F68" s="10"/>
      <c r="G68" s="90"/>
    </row>
    <row r="69" spans="2:14">
      <c r="B69" s="14"/>
      <c r="C69" s="88"/>
      <c r="D69" s="14"/>
      <c r="F69" s="10"/>
      <c r="G69" s="90"/>
    </row>
    <row r="70" spans="2:14">
      <c r="B70" s="14"/>
      <c r="C70" s="88"/>
      <c r="D70" s="14"/>
      <c r="F70" s="10"/>
      <c r="G70" s="90"/>
    </row>
    <row r="71" spans="2:14">
      <c r="B71" s="14"/>
      <c r="C71" s="88"/>
      <c r="D71" s="14"/>
      <c r="F71" s="10"/>
      <c r="G71" s="90"/>
    </row>
    <row r="72" spans="2:14">
      <c r="B72" s="14"/>
      <c r="C72" s="88"/>
      <c r="D72" s="14"/>
      <c r="F72" s="10"/>
      <c r="G72" s="90"/>
    </row>
    <row r="73" spans="2:14">
      <c r="B73" s="14"/>
      <c r="C73" s="88"/>
      <c r="D73" s="14"/>
      <c r="F73" s="10"/>
      <c r="G73" s="90"/>
    </row>
    <row r="74" spans="2:14">
      <c r="B74" s="14"/>
      <c r="C74" s="88"/>
      <c r="D74" s="14"/>
      <c r="F74" s="10"/>
      <c r="G74" s="90"/>
    </row>
    <row r="75" spans="2:14">
      <c r="B75" s="14"/>
      <c r="C75" s="88"/>
      <c r="D75" s="14"/>
      <c r="F75" s="10"/>
      <c r="G75" s="90"/>
    </row>
    <row r="76" spans="2:14">
      <c r="B76" s="11"/>
      <c r="C76" s="13"/>
      <c r="D76" s="11"/>
      <c r="E76" s="11"/>
      <c r="F76" s="12"/>
      <c r="G76" s="92"/>
      <c r="H76" s="11"/>
      <c r="I76" s="11"/>
      <c r="J76" s="11"/>
      <c r="K76" s="11"/>
      <c r="L76" s="13"/>
      <c r="M76" s="13"/>
      <c r="N76" s="11"/>
    </row>
    <row r="77" spans="2:14">
      <c r="B77" s="14"/>
      <c r="C77" s="88"/>
      <c r="D77" s="14"/>
      <c r="F77" s="10"/>
      <c r="G77" s="90"/>
    </row>
    <row r="78" spans="2:14">
      <c r="B78" s="14"/>
      <c r="C78" s="88"/>
      <c r="D78" s="14"/>
      <c r="F78" s="10"/>
      <c r="G78" s="90"/>
    </row>
    <row r="79" spans="2:14">
      <c r="B79" s="14"/>
      <c r="C79" s="88"/>
      <c r="D79" s="14"/>
      <c r="F79" s="10"/>
      <c r="G79" s="90"/>
    </row>
    <row r="80" spans="2:14">
      <c r="B80" s="14"/>
      <c r="C80" s="88"/>
      <c r="D80" s="14"/>
      <c r="F80" s="10"/>
      <c r="G80" s="90"/>
    </row>
    <row r="81" spans="2:14">
      <c r="B81" s="14"/>
      <c r="C81" s="88"/>
      <c r="D81" s="14"/>
      <c r="E81" s="84"/>
      <c r="F81" s="10"/>
      <c r="G81" s="90"/>
    </row>
    <row r="82" spans="2:14">
      <c r="B82" s="14"/>
      <c r="C82" s="88"/>
      <c r="D82" s="14"/>
      <c r="E82" s="84"/>
      <c r="F82" s="10"/>
      <c r="G82" s="90"/>
    </row>
    <row r="83" spans="2:14">
      <c r="B83" s="14"/>
      <c r="C83" s="88"/>
      <c r="D83" s="14"/>
      <c r="F83" s="10"/>
      <c r="G83" s="90"/>
    </row>
    <row r="84" spans="2:14">
      <c r="B84" s="14"/>
      <c r="C84" s="88"/>
      <c r="D84" s="14"/>
      <c r="F84" s="10"/>
      <c r="G84" s="90"/>
    </row>
    <row r="85" spans="2:14">
      <c r="B85" s="14"/>
      <c r="C85" s="88"/>
      <c r="D85" s="14"/>
      <c r="F85" s="10"/>
      <c r="G85" s="90"/>
    </row>
    <row r="86" spans="2:14">
      <c r="B86" s="14"/>
      <c r="C86" s="88"/>
      <c r="D86" s="14"/>
      <c r="F86" s="10"/>
      <c r="G86" s="90"/>
    </row>
    <row r="87" spans="2:14">
      <c r="B87" s="11"/>
      <c r="C87" s="13"/>
      <c r="D87" s="11"/>
      <c r="E87" s="11"/>
      <c r="F87" s="12"/>
      <c r="G87" s="92"/>
      <c r="H87" s="11"/>
      <c r="I87" s="11"/>
      <c r="J87" s="11"/>
      <c r="K87" s="11"/>
      <c r="L87" s="13"/>
      <c r="M87" s="13"/>
      <c r="N87" s="11"/>
    </row>
    <row r="88" spans="2:14">
      <c r="B88" s="14"/>
      <c r="F88" s="10"/>
      <c r="G88" s="90"/>
    </row>
    <row r="89" spans="2:14">
      <c r="B89" s="14"/>
      <c r="F89" s="10"/>
      <c r="G89" s="90"/>
    </row>
    <row r="90" spans="2:14">
      <c r="B90" s="14"/>
      <c r="F90" s="10"/>
      <c r="G90" s="90"/>
    </row>
    <row r="91" spans="2:14">
      <c r="B91" s="14"/>
      <c r="F91" s="10"/>
      <c r="G91" s="90"/>
    </row>
    <row r="92" spans="2:14">
      <c r="B92" s="14"/>
      <c r="F92" s="10"/>
      <c r="G92" s="90"/>
    </row>
    <row r="93" spans="2:14">
      <c r="B93" s="14"/>
      <c r="F93" s="10"/>
      <c r="G93" s="90"/>
    </row>
    <row r="94" spans="2:14">
      <c r="B94" s="14"/>
      <c r="F94" s="10"/>
      <c r="G94" s="90"/>
    </row>
    <row r="95" spans="2:14">
      <c r="B95" s="14"/>
      <c r="F95" s="10"/>
      <c r="G95" s="90"/>
    </row>
    <row r="96" spans="2:14">
      <c r="B96" s="14"/>
      <c r="F96" s="10"/>
      <c r="G96" s="90"/>
    </row>
    <row r="97" spans="2:7">
      <c r="B97" s="14"/>
      <c r="F97" s="10"/>
      <c r="G97" s="90"/>
    </row>
    <row r="98" spans="2:7">
      <c r="B98" s="14"/>
      <c r="F98" s="10"/>
      <c r="G98" s="90"/>
    </row>
    <row r="99" spans="2:7">
      <c r="B99" s="14"/>
      <c r="F99" s="10"/>
      <c r="G99" s="90"/>
    </row>
    <row r="100" spans="2:7">
      <c r="B100" s="14"/>
      <c r="F100" s="10"/>
      <c r="G100" s="90"/>
    </row>
    <row r="101" spans="2:7">
      <c r="B101" s="14"/>
      <c r="F101" s="10"/>
      <c r="G101" s="90"/>
    </row>
    <row r="102" spans="2:7">
      <c r="B102" s="14"/>
      <c r="F102" s="10"/>
      <c r="G102" s="90"/>
    </row>
    <row r="103" spans="2:7">
      <c r="B103" s="14"/>
      <c r="F103" s="10"/>
      <c r="G103" s="90"/>
    </row>
    <row r="104" spans="2:7">
      <c r="B104" s="14"/>
      <c r="F104" s="10"/>
      <c r="G104" s="90"/>
    </row>
    <row r="105" spans="2:7">
      <c r="B105" s="14"/>
      <c r="F105" s="10"/>
      <c r="G105" s="90"/>
    </row>
    <row r="106" spans="2:7">
      <c r="B106" s="14"/>
      <c r="F106" s="10"/>
      <c r="G106" s="90"/>
    </row>
    <row r="107" spans="2:7">
      <c r="B107" s="14"/>
      <c r="F107" s="10"/>
      <c r="G107" s="90"/>
    </row>
    <row r="108" spans="2:7">
      <c r="B108" s="14"/>
      <c r="F108" s="10"/>
      <c r="G108" s="90"/>
    </row>
    <row r="109" spans="2:7">
      <c r="B109" s="14"/>
      <c r="F109" s="10"/>
      <c r="G109" s="91"/>
    </row>
    <row r="110" spans="2:7">
      <c r="B110" s="14"/>
      <c r="F110" s="10"/>
      <c r="G110" s="91"/>
    </row>
    <row r="111" spans="2:7">
      <c r="F111" s="10"/>
      <c r="G111" s="91"/>
    </row>
    <row r="112" spans="2:7">
      <c r="F112" s="10"/>
      <c r="G112" s="91"/>
    </row>
    <row r="113" spans="6:7">
      <c r="F113" s="10"/>
      <c r="G113" s="91"/>
    </row>
    <row r="114" spans="6:7">
      <c r="F114" s="10"/>
      <c r="G114" s="91"/>
    </row>
    <row r="115" spans="6:7">
      <c r="F115" s="10"/>
      <c r="G115" s="91"/>
    </row>
    <row r="116" spans="6:7">
      <c r="F116" s="10"/>
      <c r="G116" s="91"/>
    </row>
    <row r="117" spans="6:7">
      <c r="F117" s="10"/>
      <c r="G117" s="10"/>
    </row>
    <row r="118" spans="6:7">
      <c r="F118" s="10"/>
      <c r="G118" s="10"/>
    </row>
    <row r="119" spans="6:7">
      <c r="F119" s="10"/>
      <c r="G119" s="10"/>
    </row>
    <row r="120" spans="6:7">
      <c r="F120" s="10"/>
      <c r="G120" s="10"/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69FBDC7-6E10-4120-9460-C37F5571E999}">
          <x14:formula1>
            <xm:f>Dropdown!$J$4:$J$26</xm:f>
          </x14:formula1>
          <xm:sqref>G6:G100</xm:sqref>
        </x14:dataValidation>
        <x14:dataValidation type="list" allowBlank="1" showInputMessage="1" showErrorMessage="1" xr:uid="{A813D42F-6ED7-469A-8752-6385C6D24140}">
          <x14:formula1>
            <xm:f>Dropdown!$D$4:$D$13</xm:f>
          </x14:formula1>
          <xm:sqref>L6:L100</xm:sqref>
        </x14:dataValidation>
        <x14:dataValidation type="list" allowBlank="1" showInputMessage="1" showErrorMessage="1" xr:uid="{3879F046-94CF-4EDB-A16C-1736CE317B6F}">
          <x14:formula1>
            <xm:f>Dropdown!$B$23:$B$27</xm:f>
          </x14:formula1>
          <xm:sqref>I6:I100</xm:sqref>
        </x14:dataValidation>
        <x14:dataValidation type="list" allowBlank="1" showInputMessage="1" showErrorMessage="1" xr:uid="{4FE5BFE1-66D9-471F-968A-F0818413D4A0}">
          <x14:formula1>
            <xm:f>Dropdown!$B$4:$B$9</xm:f>
          </x14:formula1>
          <xm:sqref>H6:H100</xm:sqref>
        </x14:dataValidation>
        <x14:dataValidation type="list" allowBlank="1" showInputMessage="1" showErrorMessage="1" xr:uid="{C8D55924-87BF-4EC7-9A54-C49317B59FF6}">
          <x14:formula1>
            <xm:f>Dropdown!$I$4:$I$8</xm:f>
          </x14:formula1>
          <xm:sqref>D6:D100</xm:sqref>
        </x14:dataValidation>
        <x14:dataValidation type="list" allowBlank="1" showInputMessage="1" showErrorMessage="1" xr:uid="{D4BBF19F-F286-456D-AC81-ED1F97EB775E}">
          <x14:formula1>
            <xm:f>Dropdown!$F$4:$F$7</xm:f>
          </x14:formula1>
          <xm:sqref>C6:C100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1110-6ABA-48E6-8409-8055A9D58FC8}">
  <dimension ref="A1:S120"/>
  <sheetViews>
    <sheetView zoomScale="76" workbookViewId="0">
      <pane xSplit="1" ySplit="5" topLeftCell="B6" activePane="bottomRight" state="frozen"/>
      <selection pane="bottomRight" activeCell="G51" sqref="G51"/>
      <selection pane="bottomLeft" activeCell="A6" sqref="A6"/>
      <selection pane="topRight" activeCell="B1" sqref="B1"/>
    </sheetView>
  </sheetViews>
  <sheetFormatPr defaultColWidth="11.42578125" defaultRowHeight="14.45"/>
  <cols>
    <col min="1" max="1" width="11.42578125" style="3"/>
    <col min="2" max="2" width="32.7109375" customWidth="1"/>
    <col min="3" max="3" width="16.85546875" style="9" customWidth="1"/>
    <col min="4" max="4" width="15.7109375" customWidth="1"/>
    <col min="5" max="5" width="57.85546875" customWidth="1"/>
    <col min="6" max="6" width="13.140625" style="9" customWidth="1"/>
    <col min="7" max="7" width="21.28515625" style="9" customWidth="1"/>
    <col min="8" max="9" width="23.7109375" customWidth="1"/>
    <col min="10" max="11" width="42.140625" customWidth="1"/>
    <col min="12" max="12" width="34" style="9" customWidth="1"/>
    <col min="13" max="13" width="26.28515625" style="9" customWidth="1"/>
    <col min="14" max="14" width="53.7109375" customWidth="1"/>
    <col min="15" max="19" width="11.42578125" style="3"/>
  </cols>
  <sheetData>
    <row r="1" spans="2:14" s="3" customFormat="1">
      <c r="C1" s="7"/>
      <c r="F1" s="7"/>
      <c r="G1" s="7"/>
      <c r="L1" s="7"/>
      <c r="M1" s="7"/>
    </row>
    <row r="2" spans="2:14" s="3" customFormat="1" ht="18.600000000000001">
      <c r="B2" s="5" t="s">
        <v>19</v>
      </c>
      <c r="C2" s="85"/>
      <c r="D2" s="5"/>
      <c r="F2" s="7"/>
      <c r="G2" s="7"/>
      <c r="L2" s="7"/>
      <c r="M2" s="7"/>
    </row>
    <row r="3" spans="2:14" s="3" customFormat="1">
      <c r="B3" s="4" t="s">
        <v>21</v>
      </c>
      <c r="C3" s="86"/>
      <c r="D3" s="4"/>
      <c r="F3" s="7"/>
      <c r="G3" s="7"/>
      <c r="L3" s="7"/>
      <c r="M3" s="7"/>
    </row>
    <row r="4" spans="2:14" s="3" customFormat="1" ht="36" customHeight="1">
      <c r="C4" s="7"/>
      <c r="F4" s="93">
        <f>SUM(F6+F22+F38+F54+F65+F87+F76)</f>
        <v>0</v>
      </c>
      <c r="G4" s="7"/>
      <c r="L4" s="7"/>
      <c r="M4" s="7"/>
    </row>
    <row r="5" spans="2:14" s="15" customFormat="1" ht="27.75" customHeight="1">
      <c r="B5" s="15" t="s">
        <v>24</v>
      </c>
      <c r="C5" s="16" t="s">
        <v>25</v>
      </c>
      <c r="D5" s="15" t="s">
        <v>26</v>
      </c>
      <c r="E5" s="15" t="s">
        <v>27</v>
      </c>
      <c r="F5" s="16" t="s">
        <v>28</v>
      </c>
      <c r="G5" s="16" t="s">
        <v>29</v>
      </c>
      <c r="H5" s="15" t="s">
        <v>30</v>
      </c>
      <c r="I5" s="15" t="s">
        <v>31</v>
      </c>
      <c r="J5" s="15" t="s">
        <v>32</v>
      </c>
      <c r="K5" s="15" t="s">
        <v>33</v>
      </c>
      <c r="L5" s="16" t="s">
        <v>34</v>
      </c>
      <c r="M5" s="16" t="s">
        <v>35</v>
      </c>
      <c r="N5" s="15" t="s">
        <v>37</v>
      </c>
    </row>
    <row r="6" spans="2:14">
      <c r="B6" s="11"/>
      <c r="C6" s="13"/>
      <c r="D6" s="11"/>
      <c r="E6" s="11"/>
      <c r="F6" s="12"/>
      <c r="G6" s="12"/>
      <c r="H6" s="11"/>
      <c r="I6" s="11"/>
      <c r="J6" s="11"/>
      <c r="K6" s="11"/>
      <c r="L6" s="13"/>
      <c r="M6" s="13"/>
      <c r="N6" s="11"/>
    </row>
    <row r="7" spans="2:14">
      <c r="B7" s="14"/>
      <c r="C7" s="87"/>
      <c r="D7" s="84"/>
      <c r="E7" s="84"/>
      <c r="F7" s="10"/>
      <c r="G7" s="90"/>
    </row>
    <row r="8" spans="2:14">
      <c r="B8" s="14"/>
      <c r="C8" s="87"/>
      <c r="D8" s="84"/>
      <c r="F8" s="10"/>
      <c r="G8" s="90"/>
    </row>
    <row r="9" spans="2:14">
      <c r="B9" s="14"/>
      <c r="C9" s="88"/>
      <c r="D9" s="14"/>
      <c r="F9" s="10"/>
      <c r="G9" s="90"/>
    </row>
    <row r="10" spans="2:14">
      <c r="B10" s="14"/>
      <c r="C10" s="88"/>
      <c r="D10" s="14"/>
      <c r="F10" s="10"/>
      <c r="G10" s="90"/>
    </row>
    <row r="11" spans="2:14">
      <c r="B11" s="14"/>
      <c r="C11" s="88"/>
      <c r="D11" s="14"/>
      <c r="F11" s="10"/>
      <c r="G11" s="90"/>
    </row>
    <row r="12" spans="2:14">
      <c r="B12" s="14"/>
      <c r="C12" s="88"/>
      <c r="D12" s="14"/>
      <c r="F12" s="10"/>
      <c r="G12" s="90"/>
    </row>
    <row r="13" spans="2:14">
      <c r="B13" s="14"/>
      <c r="C13" s="88"/>
      <c r="D13" s="14"/>
      <c r="F13" s="10"/>
      <c r="G13" s="90"/>
    </row>
    <row r="14" spans="2:14">
      <c r="B14" s="14"/>
      <c r="C14" s="88"/>
      <c r="D14" s="14"/>
      <c r="F14" s="10"/>
      <c r="G14" s="90"/>
    </row>
    <row r="15" spans="2:14">
      <c r="B15" s="14"/>
      <c r="C15" s="88"/>
      <c r="D15" s="14"/>
      <c r="F15" s="10"/>
      <c r="G15" s="90"/>
    </row>
    <row r="16" spans="2:14">
      <c r="B16" s="14"/>
      <c r="C16" s="88"/>
      <c r="D16" s="14"/>
      <c r="F16" s="10"/>
      <c r="G16" s="90"/>
    </row>
    <row r="17" spans="2:14">
      <c r="B17" s="14"/>
      <c r="C17" s="88"/>
      <c r="D17" s="14"/>
      <c r="F17" s="10"/>
      <c r="G17" s="90"/>
    </row>
    <row r="18" spans="2:14">
      <c r="B18" s="14"/>
      <c r="C18" s="88"/>
      <c r="D18" s="14"/>
      <c r="F18" s="10"/>
      <c r="G18" s="90"/>
    </row>
    <row r="19" spans="2:14">
      <c r="B19" s="14"/>
      <c r="C19" s="88"/>
      <c r="D19" s="14"/>
      <c r="F19" s="10"/>
      <c r="G19" s="90"/>
    </row>
    <row r="20" spans="2:14">
      <c r="B20" s="14"/>
      <c r="C20" s="88"/>
      <c r="D20" s="14"/>
      <c r="F20" s="10"/>
      <c r="G20" s="90"/>
    </row>
    <row r="21" spans="2:14">
      <c r="B21" s="14"/>
      <c r="C21" s="88"/>
      <c r="D21" s="14"/>
      <c r="F21" s="10"/>
      <c r="G21" s="90"/>
    </row>
    <row r="22" spans="2:14">
      <c r="B22" s="11"/>
      <c r="C22" s="13"/>
      <c r="D22" s="11"/>
      <c r="E22" s="11"/>
      <c r="F22" s="12"/>
      <c r="G22" s="92"/>
      <c r="H22" s="11"/>
      <c r="I22" s="11"/>
      <c r="J22" s="11"/>
      <c r="K22" s="11"/>
      <c r="L22" s="13"/>
      <c r="M22" s="13"/>
      <c r="N22" s="11"/>
    </row>
    <row r="23" spans="2:14">
      <c r="B23" s="14"/>
      <c r="C23" s="87"/>
      <c r="D23" s="84"/>
      <c r="E23" s="84"/>
      <c r="F23" s="10"/>
      <c r="G23" s="90"/>
    </row>
    <row r="24" spans="2:14">
      <c r="B24" s="14"/>
      <c r="C24" s="88"/>
      <c r="D24" s="14"/>
      <c r="F24" s="10"/>
      <c r="G24" s="90"/>
    </row>
    <row r="25" spans="2:14">
      <c r="B25" s="14"/>
      <c r="C25" s="88"/>
      <c r="D25" s="14"/>
      <c r="F25" s="10"/>
      <c r="G25" s="90"/>
    </row>
    <row r="26" spans="2:14">
      <c r="B26" s="14"/>
      <c r="C26" s="88"/>
      <c r="D26" s="14"/>
      <c r="F26" s="10"/>
      <c r="G26" s="90"/>
    </row>
    <row r="27" spans="2:14">
      <c r="B27" s="14"/>
      <c r="C27" s="88"/>
      <c r="D27" s="14"/>
      <c r="F27" s="10"/>
      <c r="G27" s="90"/>
    </row>
    <row r="28" spans="2:14">
      <c r="B28" s="14"/>
      <c r="C28" s="88"/>
      <c r="D28" s="14"/>
      <c r="F28" s="10"/>
      <c r="G28" s="90"/>
    </row>
    <row r="29" spans="2:14">
      <c r="B29" s="14"/>
      <c r="C29" s="88"/>
      <c r="D29" s="14"/>
      <c r="F29" s="10"/>
      <c r="G29" s="90"/>
    </row>
    <row r="30" spans="2:14">
      <c r="B30" s="14"/>
      <c r="C30" s="88"/>
      <c r="D30" s="14"/>
      <c r="F30" s="10"/>
      <c r="G30" s="90"/>
    </row>
    <row r="31" spans="2:14">
      <c r="B31" s="14"/>
      <c r="C31" s="88"/>
      <c r="D31" s="14"/>
      <c r="F31" s="10"/>
      <c r="G31" s="90"/>
    </row>
    <row r="32" spans="2:14">
      <c r="B32" s="14"/>
      <c r="C32" s="88"/>
      <c r="D32" s="14"/>
      <c r="F32" s="10"/>
      <c r="G32" s="90"/>
    </row>
    <row r="33" spans="2:14">
      <c r="B33" s="14"/>
      <c r="C33" s="88"/>
      <c r="D33" s="14"/>
      <c r="F33" s="10"/>
      <c r="G33" s="90"/>
    </row>
    <row r="34" spans="2:14">
      <c r="B34" s="14"/>
      <c r="C34" s="88"/>
      <c r="D34" s="14"/>
      <c r="F34" s="10"/>
      <c r="G34" s="90"/>
    </row>
    <row r="35" spans="2:14">
      <c r="B35" s="14"/>
      <c r="C35" s="88"/>
      <c r="D35" s="14"/>
      <c r="F35" s="10"/>
      <c r="G35" s="90"/>
    </row>
    <row r="36" spans="2:14">
      <c r="B36" s="14"/>
      <c r="C36" s="88"/>
      <c r="D36" s="14"/>
      <c r="F36" s="10"/>
      <c r="G36" s="90"/>
    </row>
    <row r="37" spans="2:14">
      <c r="B37" s="14"/>
      <c r="C37" s="88"/>
      <c r="D37" s="14"/>
      <c r="F37" s="10"/>
      <c r="G37" s="90"/>
    </row>
    <row r="38" spans="2:14">
      <c r="B38" s="11"/>
      <c r="C38" s="13"/>
      <c r="D38" s="11"/>
      <c r="E38" s="11"/>
      <c r="F38" s="12"/>
      <c r="G38" s="92"/>
      <c r="H38" s="11"/>
      <c r="I38" s="11"/>
      <c r="J38" s="11"/>
      <c r="K38" s="11"/>
      <c r="L38" s="13"/>
      <c r="M38" s="13"/>
      <c r="N38" s="11"/>
    </row>
    <row r="39" spans="2:14">
      <c r="B39" s="14"/>
      <c r="C39" s="88"/>
      <c r="D39" s="14"/>
      <c r="F39" s="10"/>
      <c r="G39" s="90"/>
    </row>
    <row r="40" spans="2:14">
      <c r="B40" s="14"/>
      <c r="C40" s="88"/>
      <c r="D40" s="14"/>
      <c r="F40" s="10"/>
      <c r="G40" s="90"/>
    </row>
    <row r="41" spans="2:14">
      <c r="B41" s="14"/>
      <c r="C41" s="88"/>
      <c r="D41" s="14"/>
      <c r="F41" s="10"/>
      <c r="G41" s="90"/>
    </row>
    <row r="42" spans="2:14">
      <c r="B42" s="14"/>
      <c r="C42" s="88"/>
      <c r="D42" s="14"/>
      <c r="F42" s="10"/>
      <c r="G42" s="90"/>
    </row>
    <row r="43" spans="2:14">
      <c r="B43" s="14"/>
      <c r="C43" s="88"/>
      <c r="D43" s="14"/>
      <c r="F43" s="10"/>
      <c r="G43" s="90"/>
    </row>
    <row r="44" spans="2:14">
      <c r="B44" s="14"/>
      <c r="C44" s="88"/>
      <c r="D44" s="14"/>
      <c r="F44" s="10"/>
      <c r="G44" s="90"/>
    </row>
    <row r="45" spans="2:14">
      <c r="B45" s="14"/>
      <c r="C45" s="88"/>
      <c r="D45" s="14"/>
      <c r="F45" s="10"/>
      <c r="G45" s="90"/>
    </row>
    <row r="46" spans="2:14">
      <c r="B46" s="14"/>
      <c r="C46" s="88"/>
      <c r="D46" s="14"/>
      <c r="F46" s="10"/>
      <c r="G46" s="90"/>
    </row>
    <row r="47" spans="2:14">
      <c r="B47" s="14"/>
      <c r="C47" s="88"/>
      <c r="D47" s="14"/>
      <c r="F47" s="10"/>
      <c r="G47" s="90"/>
    </row>
    <row r="48" spans="2:14">
      <c r="B48" s="14"/>
      <c r="C48" s="88"/>
      <c r="D48" s="14"/>
      <c r="F48" s="10"/>
      <c r="G48" s="90"/>
    </row>
    <row r="49" spans="2:14">
      <c r="B49" s="14"/>
      <c r="C49" s="88"/>
      <c r="D49" s="14"/>
      <c r="F49" s="10"/>
      <c r="G49" s="90"/>
    </row>
    <row r="50" spans="2:14">
      <c r="B50" s="14"/>
      <c r="C50" s="88"/>
      <c r="D50" s="14"/>
      <c r="F50" s="10"/>
      <c r="G50" s="90"/>
    </row>
    <row r="51" spans="2:14">
      <c r="B51" s="14"/>
      <c r="C51" s="88"/>
      <c r="D51" s="14"/>
      <c r="F51" s="10"/>
      <c r="G51" s="90"/>
    </row>
    <row r="52" spans="2:14">
      <c r="B52" s="14"/>
      <c r="C52" s="88"/>
      <c r="D52" s="14"/>
      <c r="F52" s="10"/>
      <c r="G52" s="90"/>
    </row>
    <row r="53" spans="2:14">
      <c r="B53" s="14"/>
      <c r="C53" s="88"/>
      <c r="D53" s="14"/>
      <c r="F53" s="10"/>
      <c r="G53" s="90"/>
    </row>
    <row r="54" spans="2:14">
      <c r="B54" s="11"/>
      <c r="C54" s="13"/>
      <c r="D54" s="11"/>
      <c r="E54" s="11"/>
      <c r="F54" s="12"/>
      <c r="G54" s="92"/>
      <c r="H54" s="11"/>
      <c r="I54" s="11"/>
      <c r="J54" s="11"/>
      <c r="K54" s="11"/>
      <c r="L54" s="13"/>
      <c r="M54" s="13"/>
      <c r="N54" s="11"/>
    </row>
    <row r="55" spans="2:14">
      <c r="B55" s="14"/>
      <c r="C55" s="88"/>
      <c r="D55" s="14"/>
      <c r="F55" s="10"/>
      <c r="G55" s="90"/>
    </row>
    <row r="56" spans="2:14">
      <c r="B56" s="14"/>
      <c r="C56" s="88"/>
      <c r="D56" s="14"/>
      <c r="F56" s="10"/>
      <c r="G56" s="90"/>
    </row>
    <row r="57" spans="2:14">
      <c r="B57" s="14"/>
      <c r="C57" s="88"/>
      <c r="D57" s="14"/>
      <c r="F57" s="10"/>
      <c r="G57" s="90"/>
    </row>
    <row r="58" spans="2:14">
      <c r="B58" s="14"/>
      <c r="C58" s="88"/>
      <c r="D58" s="14"/>
      <c r="F58" s="10"/>
      <c r="G58" s="90"/>
    </row>
    <row r="59" spans="2:14">
      <c r="B59" s="14"/>
      <c r="C59" s="88"/>
      <c r="D59" s="14"/>
      <c r="F59" s="10"/>
      <c r="G59" s="90"/>
    </row>
    <row r="60" spans="2:14">
      <c r="B60" s="14"/>
      <c r="C60" s="88"/>
      <c r="D60" s="14"/>
      <c r="F60" s="10"/>
      <c r="G60" s="90"/>
    </row>
    <row r="61" spans="2:14">
      <c r="B61" s="14"/>
      <c r="C61" s="88"/>
      <c r="D61" s="14"/>
      <c r="F61" s="10"/>
      <c r="G61" s="90"/>
    </row>
    <row r="62" spans="2:14">
      <c r="B62" s="14"/>
      <c r="C62" s="88"/>
      <c r="D62" s="14"/>
      <c r="F62" s="10"/>
      <c r="G62" s="90"/>
    </row>
    <row r="63" spans="2:14">
      <c r="B63" s="14"/>
      <c r="C63" s="88"/>
      <c r="D63" s="14"/>
      <c r="F63" s="10"/>
      <c r="G63" s="90"/>
    </row>
    <row r="64" spans="2:14">
      <c r="B64" s="14"/>
      <c r="C64" s="88"/>
      <c r="D64" s="14"/>
      <c r="F64" s="10"/>
      <c r="G64" s="90"/>
    </row>
    <row r="65" spans="2:14">
      <c r="B65" s="11"/>
      <c r="C65" s="13"/>
      <c r="D65" s="11"/>
      <c r="E65" s="11"/>
      <c r="F65" s="12"/>
      <c r="G65" s="92"/>
      <c r="H65" s="11"/>
      <c r="I65" s="11"/>
      <c r="J65" s="11"/>
      <c r="K65" s="11"/>
      <c r="L65" s="13"/>
      <c r="M65" s="13"/>
      <c r="N65" s="11"/>
    </row>
    <row r="66" spans="2:14">
      <c r="B66" s="14"/>
      <c r="C66" s="88"/>
      <c r="D66" s="14"/>
      <c r="F66" s="10"/>
      <c r="G66" s="90"/>
    </row>
    <row r="67" spans="2:14">
      <c r="B67" s="14"/>
      <c r="C67" s="88"/>
      <c r="D67" s="14"/>
      <c r="F67" s="10"/>
      <c r="G67" s="90"/>
    </row>
    <row r="68" spans="2:14">
      <c r="B68" s="14"/>
      <c r="C68" s="88"/>
      <c r="D68" s="14"/>
      <c r="F68" s="10"/>
      <c r="G68" s="90"/>
    </row>
    <row r="69" spans="2:14">
      <c r="B69" s="14"/>
      <c r="C69" s="88"/>
      <c r="D69" s="14"/>
      <c r="F69" s="10"/>
      <c r="G69" s="90"/>
    </row>
    <row r="70" spans="2:14">
      <c r="B70" s="14"/>
      <c r="C70" s="88"/>
      <c r="D70" s="14"/>
      <c r="F70" s="10"/>
      <c r="G70" s="90"/>
    </row>
    <row r="71" spans="2:14">
      <c r="B71" s="14"/>
      <c r="C71" s="88"/>
      <c r="D71" s="14"/>
      <c r="F71" s="10"/>
      <c r="G71" s="90"/>
    </row>
    <row r="72" spans="2:14">
      <c r="B72" s="14"/>
      <c r="C72" s="88"/>
      <c r="D72" s="14"/>
      <c r="F72" s="10"/>
      <c r="G72" s="90"/>
    </row>
    <row r="73" spans="2:14">
      <c r="B73" s="14"/>
      <c r="C73" s="88"/>
      <c r="D73" s="14"/>
      <c r="F73" s="10"/>
      <c r="G73" s="90"/>
    </row>
    <row r="74" spans="2:14">
      <c r="B74" s="14"/>
      <c r="C74" s="88"/>
      <c r="D74" s="14"/>
      <c r="F74" s="10"/>
      <c r="G74" s="90"/>
    </row>
    <row r="75" spans="2:14">
      <c r="B75" s="14"/>
      <c r="C75" s="88"/>
      <c r="D75" s="14"/>
      <c r="F75" s="10"/>
      <c r="G75" s="90"/>
    </row>
    <row r="76" spans="2:14">
      <c r="B76" s="11"/>
      <c r="C76" s="13"/>
      <c r="D76" s="11"/>
      <c r="E76" s="11"/>
      <c r="F76" s="12"/>
      <c r="G76" s="92"/>
      <c r="H76" s="11"/>
      <c r="I76" s="11"/>
      <c r="J76" s="11"/>
      <c r="K76" s="11"/>
      <c r="L76" s="13"/>
      <c r="M76" s="13"/>
      <c r="N76" s="11"/>
    </row>
    <row r="77" spans="2:14">
      <c r="B77" s="14"/>
      <c r="C77" s="88"/>
      <c r="D77" s="14"/>
      <c r="F77" s="10"/>
      <c r="G77" s="90"/>
    </row>
    <row r="78" spans="2:14">
      <c r="B78" s="14"/>
      <c r="C78" s="88"/>
      <c r="D78" s="14"/>
      <c r="F78" s="10"/>
      <c r="G78" s="90"/>
    </row>
    <row r="79" spans="2:14">
      <c r="B79" s="14"/>
      <c r="C79" s="88"/>
      <c r="D79" s="14"/>
      <c r="F79" s="10"/>
      <c r="G79" s="90"/>
    </row>
    <row r="80" spans="2:14">
      <c r="B80" s="14"/>
      <c r="C80" s="88"/>
      <c r="D80" s="14"/>
      <c r="F80" s="10"/>
      <c r="G80" s="90"/>
    </row>
    <row r="81" spans="2:14">
      <c r="B81" s="14"/>
      <c r="C81" s="88"/>
      <c r="D81" s="14"/>
      <c r="E81" s="84"/>
      <c r="F81" s="10"/>
      <c r="G81" s="90"/>
    </row>
    <row r="82" spans="2:14">
      <c r="B82" s="14"/>
      <c r="C82" s="88"/>
      <c r="D82" s="14"/>
      <c r="E82" s="84"/>
      <c r="F82" s="10"/>
      <c r="G82" s="90"/>
    </row>
    <row r="83" spans="2:14">
      <c r="B83" s="14"/>
      <c r="C83" s="88"/>
      <c r="D83" s="14"/>
      <c r="F83" s="10"/>
      <c r="G83" s="90"/>
    </row>
    <row r="84" spans="2:14">
      <c r="B84" s="14"/>
      <c r="C84" s="88"/>
      <c r="D84" s="14"/>
      <c r="F84" s="10"/>
      <c r="G84" s="90"/>
    </row>
    <row r="85" spans="2:14">
      <c r="B85" s="14"/>
      <c r="C85" s="88"/>
      <c r="D85" s="14"/>
      <c r="F85" s="10"/>
      <c r="G85" s="90"/>
    </row>
    <row r="86" spans="2:14">
      <c r="B86" s="14"/>
      <c r="C86" s="88"/>
      <c r="D86" s="14"/>
      <c r="F86" s="10"/>
      <c r="G86" s="90"/>
    </row>
    <row r="87" spans="2:14">
      <c r="B87" s="11"/>
      <c r="C87" s="13"/>
      <c r="D87" s="11"/>
      <c r="E87" s="11"/>
      <c r="F87" s="12"/>
      <c r="G87" s="92"/>
      <c r="H87" s="11"/>
      <c r="I87" s="11"/>
      <c r="J87" s="11"/>
      <c r="K87" s="11"/>
      <c r="L87" s="13"/>
      <c r="M87" s="13"/>
      <c r="N87" s="11"/>
    </row>
    <row r="88" spans="2:14">
      <c r="B88" s="14"/>
      <c r="F88" s="10"/>
      <c r="G88" s="90"/>
    </row>
    <row r="89" spans="2:14">
      <c r="B89" s="14"/>
      <c r="F89" s="10"/>
      <c r="G89" s="90"/>
    </row>
    <row r="90" spans="2:14">
      <c r="B90" s="14"/>
      <c r="F90" s="10"/>
      <c r="G90" s="90"/>
    </row>
    <row r="91" spans="2:14">
      <c r="B91" s="14"/>
      <c r="F91" s="10"/>
      <c r="G91" s="90"/>
    </row>
    <row r="92" spans="2:14">
      <c r="B92" s="14"/>
      <c r="F92" s="10"/>
      <c r="G92" s="90"/>
    </row>
    <row r="93" spans="2:14">
      <c r="B93" s="14"/>
      <c r="F93" s="10"/>
      <c r="G93" s="90"/>
    </row>
    <row r="94" spans="2:14">
      <c r="B94" s="14"/>
      <c r="F94" s="10"/>
      <c r="G94" s="90"/>
    </row>
    <row r="95" spans="2:14">
      <c r="B95" s="14"/>
      <c r="F95" s="10"/>
      <c r="G95" s="90"/>
    </row>
    <row r="96" spans="2:14">
      <c r="B96" s="14"/>
      <c r="F96" s="10"/>
      <c r="G96" s="90"/>
    </row>
    <row r="97" spans="2:7">
      <c r="B97" s="14"/>
      <c r="F97" s="10"/>
      <c r="G97" s="90"/>
    </row>
    <row r="98" spans="2:7">
      <c r="B98" s="14"/>
      <c r="F98" s="10"/>
      <c r="G98" s="90"/>
    </row>
    <row r="99" spans="2:7">
      <c r="B99" s="14"/>
      <c r="F99" s="10"/>
      <c r="G99" s="90"/>
    </row>
    <row r="100" spans="2:7">
      <c r="B100" s="14"/>
      <c r="F100" s="10"/>
      <c r="G100" s="90"/>
    </row>
    <row r="101" spans="2:7">
      <c r="B101" s="14"/>
      <c r="F101" s="10"/>
      <c r="G101" s="90"/>
    </row>
    <row r="102" spans="2:7">
      <c r="B102" s="14"/>
      <c r="F102" s="10"/>
      <c r="G102" s="90"/>
    </row>
    <row r="103" spans="2:7">
      <c r="B103" s="14"/>
      <c r="F103" s="10"/>
      <c r="G103" s="90"/>
    </row>
    <row r="104" spans="2:7">
      <c r="B104" s="14"/>
      <c r="F104" s="10"/>
      <c r="G104" s="90"/>
    </row>
    <row r="105" spans="2:7">
      <c r="B105" s="14"/>
      <c r="F105" s="10"/>
      <c r="G105" s="90"/>
    </row>
    <row r="106" spans="2:7">
      <c r="B106" s="14"/>
      <c r="F106" s="10"/>
      <c r="G106" s="90"/>
    </row>
    <row r="107" spans="2:7">
      <c r="B107" s="14"/>
      <c r="F107" s="10"/>
      <c r="G107" s="90"/>
    </row>
    <row r="108" spans="2:7">
      <c r="B108" s="14"/>
      <c r="F108" s="10"/>
      <c r="G108" s="90"/>
    </row>
    <row r="109" spans="2:7">
      <c r="B109" s="14"/>
      <c r="F109" s="10"/>
      <c r="G109" s="91"/>
    </row>
    <row r="110" spans="2:7">
      <c r="B110" s="14"/>
      <c r="F110" s="10"/>
      <c r="G110" s="91"/>
    </row>
    <row r="111" spans="2:7">
      <c r="F111" s="10"/>
      <c r="G111" s="91"/>
    </row>
    <row r="112" spans="2:7">
      <c r="F112" s="10"/>
      <c r="G112" s="91"/>
    </row>
    <row r="113" spans="6:7">
      <c r="F113" s="10"/>
      <c r="G113" s="91"/>
    </row>
    <row r="114" spans="6:7">
      <c r="F114" s="10"/>
      <c r="G114" s="91"/>
    </row>
    <row r="115" spans="6:7">
      <c r="F115" s="10"/>
      <c r="G115" s="91"/>
    </row>
    <row r="116" spans="6:7">
      <c r="F116" s="10"/>
      <c r="G116" s="91"/>
    </row>
    <row r="117" spans="6:7">
      <c r="F117" s="10"/>
      <c r="G117" s="10"/>
    </row>
    <row r="118" spans="6:7">
      <c r="F118" s="10"/>
      <c r="G118" s="10"/>
    </row>
    <row r="119" spans="6:7">
      <c r="F119" s="10"/>
      <c r="G119" s="10"/>
    </row>
    <row r="120" spans="6:7">
      <c r="F120" s="10"/>
      <c r="G120" s="10"/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629F626-3F84-443C-B331-A7D5738001C0}">
          <x14:formula1>
            <xm:f>Dropdown!$F$4:$F$7</xm:f>
          </x14:formula1>
          <xm:sqref>C6:C100</xm:sqref>
        </x14:dataValidation>
        <x14:dataValidation type="list" allowBlank="1" showInputMessage="1" showErrorMessage="1" xr:uid="{4F9844CF-69AF-46D7-B993-38438A4C0878}">
          <x14:formula1>
            <xm:f>Dropdown!$I$4:$I$8</xm:f>
          </x14:formula1>
          <xm:sqref>D6:D100</xm:sqref>
        </x14:dataValidation>
        <x14:dataValidation type="list" allowBlank="1" showInputMessage="1" showErrorMessage="1" xr:uid="{2D19F0E3-5B77-4A61-BD94-2C0157B15D33}">
          <x14:formula1>
            <xm:f>Dropdown!$B$4:$B$9</xm:f>
          </x14:formula1>
          <xm:sqref>H6:H100</xm:sqref>
        </x14:dataValidation>
        <x14:dataValidation type="list" allowBlank="1" showInputMessage="1" showErrorMessage="1" xr:uid="{F0AD277D-19F4-42FF-92F5-64A9C3549468}">
          <x14:formula1>
            <xm:f>Dropdown!$B$23:$B$27</xm:f>
          </x14:formula1>
          <xm:sqref>I6:I100</xm:sqref>
        </x14:dataValidation>
        <x14:dataValidation type="list" allowBlank="1" showInputMessage="1" showErrorMessage="1" xr:uid="{26A13173-E08D-4D18-8950-364E86BB433A}">
          <x14:formula1>
            <xm:f>Dropdown!$D$4:$D$13</xm:f>
          </x14:formula1>
          <xm:sqref>L6:L100</xm:sqref>
        </x14:dataValidation>
        <x14:dataValidation type="list" allowBlank="1" showInputMessage="1" showErrorMessage="1" xr:uid="{DD291127-3FFF-48CC-B093-54C533DDD7F6}">
          <x14:formula1>
            <xm:f>Dropdown!$J$4:$J$26</xm:f>
          </x14:formula1>
          <xm:sqref>G6:G100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0B9D-A84F-45E0-B7DE-CCEAFA512C90}">
  <dimension ref="B3:O27"/>
  <sheetViews>
    <sheetView workbookViewId="0">
      <selection activeCell="D47" sqref="D47"/>
    </sheetView>
  </sheetViews>
  <sheetFormatPr defaultColWidth="11.42578125" defaultRowHeight="14.45"/>
  <cols>
    <col min="1" max="1" width="30.42578125" customWidth="1"/>
    <col min="2" max="2" width="45.42578125" customWidth="1"/>
    <col min="3" max="3" width="14.28515625" customWidth="1"/>
    <col min="4" max="4" width="35.7109375" customWidth="1"/>
    <col min="6" max="6" width="26.140625" customWidth="1"/>
    <col min="7" max="7" width="39.85546875" customWidth="1"/>
    <col min="9" max="9" width="32.85546875" customWidth="1"/>
    <col min="10" max="10" width="25" style="9" customWidth="1"/>
    <col min="11" max="11" width="43.42578125" customWidth="1"/>
    <col min="13" max="13" width="43.42578125" customWidth="1"/>
    <col min="15" max="15" width="43.42578125" customWidth="1"/>
  </cols>
  <sheetData>
    <row r="3" spans="2:15">
      <c r="B3" s="6" t="s">
        <v>30</v>
      </c>
      <c r="D3" s="6" t="s">
        <v>106</v>
      </c>
      <c r="F3" s="6" t="s">
        <v>25</v>
      </c>
      <c r="G3" s="6"/>
      <c r="I3" s="15" t="s">
        <v>26</v>
      </c>
      <c r="J3" s="16" t="s">
        <v>29</v>
      </c>
      <c r="K3" s="6"/>
      <c r="M3" s="6"/>
      <c r="O3" s="6"/>
    </row>
    <row r="4" spans="2:15">
      <c r="B4" t="s">
        <v>51</v>
      </c>
      <c r="D4" t="s">
        <v>107</v>
      </c>
      <c r="F4" t="s">
        <v>39</v>
      </c>
      <c r="G4" t="s">
        <v>108</v>
      </c>
      <c r="I4" t="s">
        <v>40</v>
      </c>
      <c r="J4" s="90">
        <v>46054</v>
      </c>
    </row>
    <row r="5" spans="2:15">
      <c r="B5" t="s">
        <v>42</v>
      </c>
      <c r="D5" t="s">
        <v>45</v>
      </c>
      <c r="F5" t="s">
        <v>53</v>
      </c>
      <c r="G5" t="s">
        <v>109</v>
      </c>
      <c r="I5" t="s">
        <v>54</v>
      </c>
      <c r="J5" s="90">
        <v>46082</v>
      </c>
    </row>
    <row r="6" spans="2:15">
      <c r="B6" t="s">
        <v>110</v>
      </c>
      <c r="D6" t="s">
        <v>103</v>
      </c>
      <c r="F6" t="s">
        <v>59</v>
      </c>
      <c r="G6" t="s">
        <v>111</v>
      </c>
      <c r="I6" t="s">
        <v>60</v>
      </c>
      <c r="J6" s="90">
        <v>46113</v>
      </c>
    </row>
    <row r="7" spans="2:15">
      <c r="B7" t="s">
        <v>112</v>
      </c>
      <c r="D7" t="s">
        <v>113</v>
      </c>
      <c r="F7" t="s">
        <v>114</v>
      </c>
      <c r="G7" t="s">
        <v>115</v>
      </c>
      <c r="I7" t="s">
        <v>116</v>
      </c>
      <c r="J7" s="90">
        <v>46143</v>
      </c>
    </row>
    <row r="8" spans="2:15">
      <c r="D8" t="s">
        <v>117</v>
      </c>
      <c r="J8" s="90">
        <v>46174</v>
      </c>
    </row>
    <row r="9" spans="2:15">
      <c r="D9" t="s">
        <v>118</v>
      </c>
      <c r="J9" s="90">
        <v>46204</v>
      </c>
    </row>
    <row r="10" spans="2:15">
      <c r="D10" t="s">
        <v>56</v>
      </c>
      <c r="J10" s="90">
        <v>46235</v>
      </c>
    </row>
    <row r="11" spans="2:15">
      <c r="D11" t="s">
        <v>119</v>
      </c>
      <c r="J11" s="90">
        <v>46266</v>
      </c>
    </row>
    <row r="12" spans="2:15">
      <c r="J12" s="90">
        <v>46296</v>
      </c>
    </row>
    <row r="13" spans="2:15">
      <c r="B13" s="6" t="s">
        <v>120</v>
      </c>
      <c r="J13" s="90">
        <v>46327</v>
      </c>
    </row>
    <row r="14" spans="2:15">
      <c r="B14" t="s">
        <v>121</v>
      </c>
      <c r="J14" s="90">
        <v>46357</v>
      </c>
    </row>
    <row r="15" spans="2:15">
      <c r="B15" t="s">
        <v>122</v>
      </c>
      <c r="J15" s="90">
        <v>46388</v>
      </c>
    </row>
    <row r="16" spans="2:15">
      <c r="B16" t="s">
        <v>123</v>
      </c>
      <c r="J16" s="90">
        <v>46419</v>
      </c>
    </row>
    <row r="17" spans="2:10">
      <c r="B17" t="s">
        <v>124</v>
      </c>
      <c r="J17" s="90">
        <v>46447</v>
      </c>
    </row>
    <row r="18" spans="2:10">
      <c r="B18" t="s">
        <v>125</v>
      </c>
      <c r="J18" s="90">
        <v>46478</v>
      </c>
    </row>
    <row r="19" spans="2:10">
      <c r="J19" s="90">
        <v>46508</v>
      </c>
    </row>
    <row r="20" spans="2:10">
      <c r="J20" s="90">
        <v>46539</v>
      </c>
    </row>
    <row r="21" spans="2:10">
      <c r="J21" s="90">
        <v>46569</v>
      </c>
    </row>
    <row r="22" spans="2:10">
      <c r="B22" s="6" t="s">
        <v>31</v>
      </c>
      <c r="J22" s="90">
        <v>46600</v>
      </c>
    </row>
    <row r="23" spans="2:10">
      <c r="B23" t="s">
        <v>26</v>
      </c>
      <c r="J23" s="90">
        <v>46631</v>
      </c>
    </row>
    <row r="24" spans="2:10">
      <c r="B24" t="s">
        <v>52</v>
      </c>
      <c r="J24" s="90">
        <v>46661</v>
      </c>
    </row>
    <row r="25" spans="2:10">
      <c r="B25" t="s">
        <v>126</v>
      </c>
      <c r="J25" s="90">
        <v>46692</v>
      </c>
    </row>
    <row r="26" spans="2:10">
      <c r="B26" t="s">
        <v>127</v>
      </c>
      <c r="J26" s="90">
        <v>46722</v>
      </c>
    </row>
    <row r="27" spans="2:10">
      <c r="B27" t="s">
        <v>43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018F-4FB1-4255-B63F-AE96FC4D990D}">
  <sheetPr>
    <tabColor theme="8" tint="0.39997558519241921"/>
  </sheetPr>
  <dimension ref="A1:DO57"/>
  <sheetViews>
    <sheetView showGridLines="0" tabSelected="1" topLeftCell="I1" zoomScale="80" zoomScaleNormal="80" workbookViewId="0">
      <pane ySplit="7" topLeftCell="A16" activePane="bottomLeft" state="frozen"/>
      <selection pane="bottomLeft" activeCell="K18" sqref="K18"/>
      <selection activeCell="F1" sqref="F1"/>
    </sheetView>
  </sheetViews>
  <sheetFormatPr defaultColWidth="12.5703125" defaultRowHeight="12.75" customHeight="1" outlineLevelRow="1" outlineLevelCol="1"/>
  <cols>
    <col min="1" max="1" width="12.5703125" style="23" hidden="1" customWidth="1" outlineLevel="1"/>
    <col min="2" max="2" width="19.5703125" style="23" hidden="1" customWidth="1" outlineLevel="1"/>
    <col min="3" max="3" width="12.5703125" style="23" hidden="1" customWidth="1" outlineLevel="1"/>
    <col min="4" max="5" width="30.28515625" style="23" hidden="1" customWidth="1" outlineLevel="1"/>
    <col min="6" max="6" width="5.42578125" style="23" hidden="1" customWidth="1" outlineLevel="1"/>
    <col min="7" max="7" width="40.28515625" style="23" customWidth="1" collapsed="1"/>
    <col min="8" max="8" width="23.42578125" style="23" hidden="1" customWidth="1" outlineLevel="1"/>
    <col min="9" max="9" width="50.140625" style="23" customWidth="1" collapsed="1"/>
    <col min="10" max="10" width="50.140625" style="23" customWidth="1"/>
    <col min="11" max="11" width="41" style="23" customWidth="1"/>
    <col min="12" max="12" width="17.42578125" style="23" bestFit="1" customWidth="1"/>
    <col min="13" max="13" width="13.28515625" style="24" bestFit="1" customWidth="1"/>
    <col min="14" max="14" width="10.7109375" style="23" customWidth="1"/>
    <col min="15" max="15" width="13.140625" style="23" customWidth="1"/>
    <col min="16" max="27" width="10.140625" style="23" hidden="1" customWidth="1" outlineLevel="1"/>
    <col min="28" max="28" width="10.140625" style="23" customWidth="1" collapsed="1"/>
    <col min="29" max="29" width="9" style="23" bestFit="1" customWidth="1"/>
    <col min="30" max="30" width="9.28515625" style="23" bestFit="1" customWidth="1"/>
    <col min="31" max="31" width="9" style="23" bestFit="1" customWidth="1"/>
    <col min="32" max="32" width="8.85546875" style="23" bestFit="1" customWidth="1"/>
    <col min="33" max="39" width="10.140625" style="23" customWidth="1"/>
    <col min="40" max="87" width="9.140625" style="23" customWidth="1"/>
    <col min="88" max="88" width="4" style="23" customWidth="1" collapsed="1"/>
    <col min="89" max="94" width="10.140625" style="23" customWidth="1" outlineLevel="1"/>
    <col min="95" max="95" width="11.140625" style="23" bestFit="1" customWidth="1" outlineLevel="1"/>
    <col min="96" max="96" width="10.140625" style="23" customWidth="1" outlineLevel="1"/>
    <col min="97" max="112" width="9.140625" style="23" customWidth="1" outlineLevel="1"/>
    <col min="113" max="113" width="4.42578125" style="23" customWidth="1" outlineLevel="1"/>
    <col min="114" max="119" width="10.140625" style="23" customWidth="1"/>
    <col min="120" max="16384" width="12.5703125" style="23"/>
  </cols>
  <sheetData>
    <row r="1" spans="1:119" ht="12.75" hidden="1" customHeight="1" outlineLevel="1" collapsed="1">
      <c r="P1" s="25">
        <f>YEAR(P6)</f>
        <v>2025</v>
      </c>
      <c r="Q1" s="25">
        <f t="shared" ref="Q1:CB1" si="0">YEAR(Q6)</f>
        <v>2025</v>
      </c>
      <c r="R1" s="25">
        <f t="shared" si="0"/>
        <v>2025</v>
      </c>
      <c r="S1" s="25">
        <f t="shared" si="0"/>
        <v>2025</v>
      </c>
      <c r="T1" s="25">
        <f t="shared" si="0"/>
        <v>2025</v>
      </c>
      <c r="U1" s="25">
        <f t="shared" si="0"/>
        <v>2025</v>
      </c>
      <c r="V1" s="25">
        <f t="shared" si="0"/>
        <v>2025</v>
      </c>
      <c r="W1" s="25">
        <f t="shared" si="0"/>
        <v>2025</v>
      </c>
      <c r="X1" s="25">
        <f t="shared" si="0"/>
        <v>2025</v>
      </c>
      <c r="Y1" s="25">
        <f t="shared" si="0"/>
        <v>2025</v>
      </c>
      <c r="Z1" s="25">
        <f t="shared" si="0"/>
        <v>2025</v>
      </c>
      <c r="AA1" s="25">
        <f t="shared" si="0"/>
        <v>2025</v>
      </c>
      <c r="AB1" s="25">
        <f t="shared" si="0"/>
        <v>2026</v>
      </c>
      <c r="AC1" s="25">
        <f t="shared" si="0"/>
        <v>2026</v>
      </c>
      <c r="AD1" s="25">
        <f t="shared" si="0"/>
        <v>2026</v>
      </c>
      <c r="AE1" s="25">
        <f t="shared" si="0"/>
        <v>2026</v>
      </c>
      <c r="AF1" s="25">
        <f t="shared" si="0"/>
        <v>2026</v>
      </c>
      <c r="AG1" s="25">
        <f t="shared" si="0"/>
        <v>2026</v>
      </c>
      <c r="AH1" s="25">
        <f t="shared" si="0"/>
        <v>2026</v>
      </c>
      <c r="AI1" s="25">
        <f t="shared" si="0"/>
        <v>2026</v>
      </c>
      <c r="AJ1" s="25">
        <f t="shared" si="0"/>
        <v>2026</v>
      </c>
      <c r="AK1" s="25">
        <f t="shared" si="0"/>
        <v>2026</v>
      </c>
      <c r="AL1" s="25">
        <f t="shared" si="0"/>
        <v>2026</v>
      </c>
      <c r="AM1" s="25">
        <f t="shared" si="0"/>
        <v>2026</v>
      </c>
      <c r="AN1" s="25">
        <f t="shared" si="0"/>
        <v>2027</v>
      </c>
      <c r="AO1" s="25">
        <f t="shared" si="0"/>
        <v>2027</v>
      </c>
      <c r="AP1" s="25">
        <f t="shared" si="0"/>
        <v>2027</v>
      </c>
      <c r="AQ1" s="25">
        <f t="shared" si="0"/>
        <v>2027</v>
      </c>
      <c r="AR1" s="25">
        <f t="shared" si="0"/>
        <v>2027</v>
      </c>
      <c r="AS1" s="25">
        <f t="shared" si="0"/>
        <v>2027</v>
      </c>
      <c r="AT1" s="25">
        <f t="shared" si="0"/>
        <v>2027</v>
      </c>
      <c r="AU1" s="25">
        <f t="shared" si="0"/>
        <v>2027</v>
      </c>
      <c r="AV1" s="25">
        <f t="shared" si="0"/>
        <v>2027</v>
      </c>
      <c r="AW1" s="25">
        <f t="shared" si="0"/>
        <v>2027</v>
      </c>
      <c r="AX1" s="25">
        <f t="shared" si="0"/>
        <v>2027</v>
      </c>
      <c r="AY1" s="25">
        <f t="shared" si="0"/>
        <v>2027</v>
      </c>
      <c r="AZ1" s="25">
        <f t="shared" si="0"/>
        <v>2028</v>
      </c>
      <c r="BA1" s="25">
        <f t="shared" si="0"/>
        <v>2028</v>
      </c>
      <c r="BB1" s="25">
        <f t="shared" si="0"/>
        <v>2028</v>
      </c>
      <c r="BC1" s="25">
        <f t="shared" si="0"/>
        <v>2028</v>
      </c>
      <c r="BD1" s="25">
        <f t="shared" si="0"/>
        <v>2028</v>
      </c>
      <c r="BE1" s="25">
        <f t="shared" si="0"/>
        <v>2028</v>
      </c>
      <c r="BF1" s="25">
        <f t="shared" si="0"/>
        <v>2028</v>
      </c>
      <c r="BG1" s="25">
        <f t="shared" si="0"/>
        <v>2028</v>
      </c>
      <c r="BH1" s="25">
        <f t="shared" si="0"/>
        <v>2028</v>
      </c>
      <c r="BI1" s="25">
        <f t="shared" si="0"/>
        <v>2028</v>
      </c>
      <c r="BJ1" s="25">
        <f t="shared" si="0"/>
        <v>2028</v>
      </c>
      <c r="BK1" s="25">
        <f t="shared" si="0"/>
        <v>2028</v>
      </c>
      <c r="BL1" s="25">
        <f t="shared" si="0"/>
        <v>2029</v>
      </c>
      <c r="BM1" s="25">
        <f t="shared" si="0"/>
        <v>2029</v>
      </c>
      <c r="BN1" s="25">
        <f t="shared" si="0"/>
        <v>2029</v>
      </c>
      <c r="BO1" s="25">
        <f t="shared" si="0"/>
        <v>2029</v>
      </c>
      <c r="BP1" s="25">
        <f t="shared" si="0"/>
        <v>2029</v>
      </c>
      <c r="BQ1" s="25">
        <f t="shared" si="0"/>
        <v>2029</v>
      </c>
      <c r="BR1" s="25">
        <f t="shared" si="0"/>
        <v>2029</v>
      </c>
      <c r="BS1" s="25">
        <f t="shared" si="0"/>
        <v>2029</v>
      </c>
      <c r="BT1" s="25">
        <f t="shared" si="0"/>
        <v>2029</v>
      </c>
      <c r="BU1" s="25">
        <f t="shared" si="0"/>
        <v>2029</v>
      </c>
      <c r="BV1" s="25">
        <f t="shared" si="0"/>
        <v>2029</v>
      </c>
      <c r="BW1" s="25">
        <f t="shared" si="0"/>
        <v>2029</v>
      </c>
      <c r="BX1" s="25">
        <f t="shared" si="0"/>
        <v>2030</v>
      </c>
      <c r="BY1" s="25">
        <f t="shared" si="0"/>
        <v>2030</v>
      </c>
      <c r="BZ1" s="25">
        <f t="shared" si="0"/>
        <v>2030</v>
      </c>
      <c r="CA1" s="25">
        <f t="shared" si="0"/>
        <v>2030</v>
      </c>
      <c r="CB1" s="25">
        <f t="shared" si="0"/>
        <v>2030</v>
      </c>
      <c r="CC1" s="25">
        <f t="shared" ref="CC1:CI1" si="1">YEAR(CC6)</f>
        <v>2030</v>
      </c>
      <c r="CD1" s="25">
        <f t="shared" si="1"/>
        <v>2030</v>
      </c>
      <c r="CE1" s="25">
        <f t="shared" si="1"/>
        <v>2030</v>
      </c>
      <c r="CF1" s="25">
        <f t="shared" si="1"/>
        <v>2030</v>
      </c>
      <c r="CG1" s="25">
        <f t="shared" si="1"/>
        <v>2030</v>
      </c>
      <c r="CH1" s="25">
        <f t="shared" si="1"/>
        <v>2030</v>
      </c>
      <c r="CI1" s="25">
        <f t="shared" si="1"/>
        <v>2030</v>
      </c>
      <c r="CN1" s="26" t="str">
        <f>RIGHT(CN6,4)</f>
        <v>2025</v>
      </c>
      <c r="CO1" s="26" t="str">
        <f t="shared" ref="CO1:DH1" si="2">RIGHT(CO6,4)</f>
        <v>2026</v>
      </c>
      <c r="CP1" s="26" t="str">
        <f t="shared" si="2"/>
        <v>2026</v>
      </c>
      <c r="CQ1" s="26" t="str">
        <f t="shared" si="2"/>
        <v>2026</v>
      </c>
      <c r="CR1" s="26" t="str">
        <f t="shared" si="2"/>
        <v>2026</v>
      </c>
      <c r="CS1" s="26" t="str">
        <f t="shared" si="2"/>
        <v>2027</v>
      </c>
      <c r="CT1" s="26" t="str">
        <f t="shared" si="2"/>
        <v>2027</v>
      </c>
      <c r="CU1" s="26" t="str">
        <f t="shared" si="2"/>
        <v>2027</v>
      </c>
      <c r="CV1" s="26" t="str">
        <f t="shared" si="2"/>
        <v>2027</v>
      </c>
      <c r="CW1" s="26" t="str">
        <f t="shared" si="2"/>
        <v>2028</v>
      </c>
      <c r="CX1" s="26" t="str">
        <f t="shared" si="2"/>
        <v>2028</v>
      </c>
      <c r="CY1" s="26" t="str">
        <f t="shared" si="2"/>
        <v>2028</v>
      </c>
      <c r="CZ1" s="26" t="str">
        <f t="shared" si="2"/>
        <v>2028</v>
      </c>
      <c r="DA1" s="26" t="str">
        <f t="shared" si="2"/>
        <v>2029</v>
      </c>
      <c r="DB1" s="26" t="str">
        <f t="shared" si="2"/>
        <v>2029</v>
      </c>
      <c r="DC1" s="26" t="str">
        <f t="shared" si="2"/>
        <v>2029</v>
      </c>
      <c r="DD1" s="26" t="str">
        <f t="shared" si="2"/>
        <v>2029</v>
      </c>
      <c r="DE1" s="26" t="str">
        <f t="shared" si="2"/>
        <v>2030</v>
      </c>
      <c r="DF1" s="26" t="str">
        <f t="shared" si="2"/>
        <v>2030</v>
      </c>
      <c r="DG1" s="26" t="str">
        <f t="shared" si="2"/>
        <v>2030</v>
      </c>
      <c r="DH1" s="26" t="str">
        <f t="shared" si="2"/>
        <v>2030</v>
      </c>
    </row>
    <row r="2" spans="1:119" ht="12.75" hidden="1" customHeight="1" outlineLevel="1">
      <c r="P2" s="25">
        <f>MONTH(P6)</f>
        <v>1</v>
      </c>
      <c r="Q2" s="25">
        <f t="shared" ref="Q2:CB2" si="3">MONTH(Q6)</f>
        <v>2</v>
      </c>
      <c r="R2" s="25">
        <f t="shared" si="3"/>
        <v>3</v>
      </c>
      <c r="S2" s="25">
        <f t="shared" si="3"/>
        <v>4</v>
      </c>
      <c r="T2" s="25">
        <f t="shared" si="3"/>
        <v>5</v>
      </c>
      <c r="U2" s="25">
        <f t="shared" si="3"/>
        <v>6</v>
      </c>
      <c r="V2" s="25">
        <f t="shared" si="3"/>
        <v>7</v>
      </c>
      <c r="W2" s="25">
        <f t="shared" si="3"/>
        <v>8</v>
      </c>
      <c r="X2" s="25">
        <f t="shared" si="3"/>
        <v>9</v>
      </c>
      <c r="Y2" s="25">
        <f t="shared" si="3"/>
        <v>10</v>
      </c>
      <c r="Z2" s="25">
        <f t="shared" si="3"/>
        <v>11</v>
      </c>
      <c r="AA2" s="25">
        <f t="shared" si="3"/>
        <v>12</v>
      </c>
      <c r="AB2" s="25">
        <f t="shared" si="3"/>
        <v>1</v>
      </c>
      <c r="AC2" s="25">
        <f t="shared" si="3"/>
        <v>2</v>
      </c>
      <c r="AD2" s="25">
        <f t="shared" si="3"/>
        <v>3</v>
      </c>
      <c r="AE2" s="25">
        <f t="shared" si="3"/>
        <v>4</v>
      </c>
      <c r="AF2" s="25">
        <f t="shared" si="3"/>
        <v>5</v>
      </c>
      <c r="AG2" s="25">
        <f t="shared" si="3"/>
        <v>6</v>
      </c>
      <c r="AH2" s="25">
        <f t="shared" si="3"/>
        <v>7</v>
      </c>
      <c r="AI2" s="25">
        <f t="shared" si="3"/>
        <v>8</v>
      </c>
      <c r="AJ2" s="25">
        <f t="shared" si="3"/>
        <v>9</v>
      </c>
      <c r="AK2" s="25">
        <f t="shared" si="3"/>
        <v>10</v>
      </c>
      <c r="AL2" s="25">
        <f t="shared" si="3"/>
        <v>11</v>
      </c>
      <c r="AM2" s="25">
        <f t="shared" si="3"/>
        <v>12</v>
      </c>
      <c r="AN2" s="25">
        <f t="shared" si="3"/>
        <v>1</v>
      </c>
      <c r="AO2" s="25">
        <f t="shared" si="3"/>
        <v>2</v>
      </c>
      <c r="AP2" s="25">
        <f t="shared" si="3"/>
        <v>3</v>
      </c>
      <c r="AQ2" s="25">
        <f t="shared" si="3"/>
        <v>4</v>
      </c>
      <c r="AR2" s="25">
        <f t="shared" si="3"/>
        <v>5</v>
      </c>
      <c r="AS2" s="25">
        <f t="shared" si="3"/>
        <v>6</v>
      </c>
      <c r="AT2" s="25">
        <f t="shared" si="3"/>
        <v>7</v>
      </c>
      <c r="AU2" s="25">
        <f t="shared" si="3"/>
        <v>8</v>
      </c>
      <c r="AV2" s="25">
        <f t="shared" si="3"/>
        <v>9</v>
      </c>
      <c r="AW2" s="25">
        <f t="shared" si="3"/>
        <v>10</v>
      </c>
      <c r="AX2" s="25">
        <f t="shared" si="3"/>
        <v>11</v>
      </c>
      <c r="AY2" s="25">
        <f t="shared" si="3"/>
        <v>12</v>
      </c>
      <c r="AZ2" s="25">
        <f t="shared" si="3"/>
        <v>1</v>
      </c>
      <c r="BA2" s="25">
        <f t="shared" si="3"/>
        <v>2</v>
      </c>
      <c r="BB2" s="25">
        <f t="shared" si="3"/>
        <v>3</v>
      </c>
      <c r="BC2" s="25">
        <f t="shared" si="3"/>
        <v>4</v>
      </c>
      <c r="BD2" s="25">
        <f t="shared" si="3"/>
        <v>5</v>
      </c>
      <c r="BE2" s="25">
        <f t="shared" si="3"/>
        <v>6</v>
      </c>
      <c r="BF2" s="25">
        <f t="shared" si="3"/>
        <v>7</v>
      </c>
      <c r="BG2" s="25">
        <f t="shared" si="3"/>
        <v>8</v>
      </c>
      <c r="BH2" s="25">
        <f t="shared" si="3"/>
        <v>9</v>
      </c>
      <c r="BI2" s="25">
        <f t="shared" si="3"/>
        <v>10</v>
      </c>
      <c r="BJ2" s="25">
        <f t="shared" si="3"/>
        <v>11</v>
      </c>
      <c r="BK2" s="25">
        <f t="shared" si="3"/>
        <v>12</v>
      </c>
      <c r="BL2" s="25">
        <f t="shared" si="3"/>
        <v>1</v>
      </c>
      <c r="BM2" s="25">
        <f t="shared" si="3"/>
        <v>2</v>
      </c>
      <c r="BN2" s="25">
        <f t="shared" si="3"/>
        <v>3</v>
      </c>
      <c r="BO2" s="25">
        <f t="shared" si="3"/>
        <v>4</v>
      </c>
      <c r="BP2" s="25">
        <f t="shared" si="3"/>
        <v>5</v>
      </c>
      <c r="BQ2" s="25">
        <f t="shared" si="3"/>
        <v>6</v>
      </c>
      <c r="BR2" s="25">
        <f t="shared" si="3"/>
        <v>7</v>
      </c>
      <c r="BS2" s="25">
        <f t="shared" si="3"/>
        <v>8</v>
      </c>
      <c r="BT2" s="25">
        <f t="shared" si="3"/>
        <v>9</v>
      </c>
      <c r="BU2" s="25">
        <f t="shared" si="3"/>
        <v>10</v>
      </c>
      <c r="BV2" s="25">
        <f t="shared" si="3"/>
        <v>11</v>
      </c>
      <c r="BW2" s="25">
        <f t="shared" si="3"/>
        <v>12</v>
      </c>
      <c r="BX2" s="25">
        <f t="shared" si="3"/>
        <v>1</v>
      </c>
      <c r="BY2" s="25">
        <f t="shared" si="3"/>
        <v>2</v>
      </c>
      <c r="BZ2" s="25">
        <f t="shared" si="3"/>
        <v>3</v>
      </c>
      <c r="CA2" s="25">
        <f t="shared" si="3"/>
        <v>4</v>
      </c>
      <c r="CB2" s="25">
        <f t="shared" si="3"/>
        <v>5</v>
      </c>
      <c r="CC2" s="25">
        <f t="shared" ref="CC2:CI2" si="4">MONTH(CC6)</f>
        <v>6</v>
      </c>
      <c r="CD2" s="25">
        <f t="shared" si="4"/>
        <v>7</v>
      </c>
      <c r="CE2" s="25">
        <f t="shared" si="4"/>
        <v>8</v>
      </c>
      <c r="CF2" s="25">
        <f t="shared" si="4"/>
        <v>9</v>
      </c>
      <c r="CG2" s="25">
        <f t="shared" si="4"/>
        <v>10</v>
      </c>
      <c r="CH2" s="25">
        <f t="shared" si="4"/>
        <v>11</v>
      </c>
      <c r="CI2" s="25">
        <f t="shared" si="4"/>
        <v>12</v>
      </c>
    </row>
    <row r="3" spans="1:119" ht="12.75" hidden="1" customHeight="1" outlineLevel="1">
      <c r="P3" s="25" t="str">
        <f>"Q"&amp;ROUNDUP(MONTH(P6)/3,0)&amp;" "&amp;P1</f>
        <v>Q1 2025</v>
      </c>
      <c r="Q3" s="25" t="str">
        <f t="shared" ref="Q3:CB3" si="5">"Q"&amp;ROUNDUP(MONTH(Q6)/3,0)&amp;" "&amp;Q1</f>
        <v>Q1 2025</v>
      </c>
      <c r="R3" s="25" t="str">
        <f t="shared" si="5"/>
        <v>Q1 2025</v>
      </c>
      <c r="S3" s="25" t="str">
        <f t="shared" si="5"/>
        <v>Q2 2025</v>
      </c>
      <c r="T3" s="25" t="str">
        <f t="shared" si="5"/>
        <v>Q2 2025</v>
      </c>
      <c r="U3" s="25" t="str">
        <f t="shared" si="5"/>
        <v>Q2 2025</v>
      </c>
      <c r="V3" s="25" t="str">
        <f t="shared" si="5"/>
        <v>Q3 2025</v>
      </c>
      <c r="W3" s="25" t="str">
        <f t="shared" si="5"/>
        <v>Q3 2025</v>
      </c>
      <c r="X3" s="25" t="str">
        <f t="shared" si="5"/>
        <v>Q3 2025</v>
      </c>
      <c r="Y3" s="25" t="str">
        <f t="shared" si="5"/>
        <v>Q4 2025</v>
      </c>
      <c r="Z3" s="25" t="str">
        <f t="shared" si="5"/>
        <v>Q4 2025</v>
      </c>
      <c r="AA3" s="25" t="str">
        <f t="shared" si="5"/>
        <v>Q4 2025</v>
      </c>
      <c r="AB3" s="25" t="str">
        <f t="shared" si="5"/>
        <v>Q1 2026</v>
      </c>
      <c r="AC3" s="25" t="str">
        <f t="shared" si="5"/>
        <v>Q1 2026</v>
      </c>
      <c r="AD3" s="25" t="str">
        <f t="shared" si="5"/>
        <v>Q1 2026</v>
      </c>
      <c r="AE3" s="25" t="str">
        <f t="shared" si="5"/>
        <v>Q2 2026</v>
      </c>
      <c r="AF3" s="25" t="str">
        <f t="shared" si="5"/>
        <v>Q2 2026</v>
      </c>
      <c r="AG3" s="25" t="str">
        <f t="shared" si="5"/>
        <v>Q2 2026</v>
      </c>
      <c r="AH3" s="25" t="str">
        <f t="shared" si="5"/>
        <v>Q3 2026</v>
      </c>
      <c r="AI3" s="25" t="str">
        <f t="shared" si="5"/>
        <v>Q3 2026</v>
      </c>
      <c r="AJ3" s="25" t="str">
        <f t="shared" si="5"/>
        <v>Q3 2026</v>
      </c>
      <c r="AK3" s="25" t="str">
        <f t="shared" si="5"/>
        <v>Q4 2026</v>
      </c>
      <c r="AL3" s="25" t="str">
        <f t="shared" si="5"/>
        <v>Q4 2026</v>
      </c>
      <c r="AM3" s="25" t="str">
        <f t="shared" si="5"/>
        <v>Q4 2026</v>
      </c>
      <c r="AN3" s="25" t="str">
        <f t="shared" si="5"/>
        <v>Q1 2027</v>
      </c>
      <c r="AO3" s="25" t="str">
        <f t="shared" si="5"/>
        <v>Q1 2027</v>
      </c>
      <c r="AP3" s="25" t="str">
        <f t="shared" si="5"/>
        <v>Q1 2027</v>
      </c>
      <c r="AQ3" s="25" t="str">
        <f t="shared" si="5"/>
        <v>Q2 2027</v>
      </c>
      <c r="AR3" s="25" t="str">
        <f t="shared" si="5"/>
        <v>Q2 2027</v>
      </c>
      <c r="AS3" s="25" t="str">
        <f t="shared" si="5"/>
        <v>Q2 2027</v>
      </c>
      <c r="AT3" s="25" t="str">
        <f t="shared" si="5"/>
        <v>Q3 2027</v>
      </c>
      <c r="AU3" s="25" t="str">
        <f t="shared" si="5"/>
        <v>Q3 2027</v>
      </c>
      <c r="AV3" s="25" t="str">
        <f t="shared" si="5"/>
        <v>Q3 2027</v>
      </c>
      <c r="AW3" s="25" t="str">
        <f t="shared" si="5"/>
        <v>Q4 2027</v>
      </c>
      <c r="AX3" s="25" t="str">
        <f t="shared" si="5"/>
        <v>Q4 2027</v>
      </c>
      <c r="AY3" s="25" t="str">
        <f t="shared" si="5"/>
        <v>Q4 2027</v>
      </c>
      <c r="AZ3" s="25" t="str">
        <f t="shared" si="5"/>
        <v>Q1 2028</v>
      </c>
      <c r="BA3" s="25" t="str">
        <f t="shared" si="5"/>
        <v>Q1 2028</v>
      </c>
      <c r="BB3" s="25" t="str">
        <f t="shared" si="5"/>
        <v>Q1 2028</v>
      </c>
      <c r="BC3" s="25" t="str">
        <f t="shared" si="5"/>
        <v>Q2 2028</v>
      </c>
      <c r="BD3" s="25" t="str">
        <f t="shared" si="5"/>
        <v>Q2 2028</v>
      </c>
      <c r="BE3" s="25" t="str">
        <f t="shared" si="5"/>
        <v>Q2 2028</v>
      </c>
      <c r="BF3" s="25" t="str">
        <f t="shared" si="5"/>
        <v>Q3 2028</v>
      </c>
      <c r="BG3" s="25" t="str">
        <f t="shared" si="5"/>
        <v>Q3 2028</v>
      </c>
      <c r="BH3" s="25" t="str">
        <f t="shared" si="5"/>
        <v>Q3 2028</v>
      </c>
      <c r="BI3" s="25" t="str">
        <f t="shared" si="5"/>
        <v>Q4 2028</v>
      </c>
      <c r="BJ3" s="25" t="str">
        <f t="shared" si="5"/>
        <v>Q4 2028</v>
      </c>
      <c r="BK3" s="25" t="str">
        <f t="shared" si="5"/>
        <v>Q4 2028</v>
      </c>
      <c r="BL3" s="25" t="str">
        <f t="shared" si="5"/>
        <v>Q1 2029</v>
      </c>
      <c r="BM3" s="25" t="str">
        <f t="shared" si="5"/>
        <v>Q1 2029</v>
      </c>
      <c r="BN3" s="25" t="str">
        <f t="shared" si="5"/>
        <v>Q1 2029</v>
      </c>
      <c r="BO3" s="25" t="str">
        <f t="shared" si="5"/>
        <v>Q2 2029</v>
      </c>
      <c r="BP3" s="25" t="str">
        <f t="shared" si="5"/>
        <v>Q2 2029</v>
      </c>
      <c r="BQ3" s="25" t="str">
        <f t="shared" si="5"/>
        <v>Q2 2029</v>
      </c>
      <c r="BR3" s="25" t="str">
        <f t="shared" si="5"/>
        <v>Q3 2029</v>
      </c>
      <c r="BS3" s="25" t="str">
        <f t="shared" si="5"/>
        <v>Q3 2029</v>
      </c>
      <c r="BT3" s="25" t="str">
        <f t="shared" si="5"/>
        <v>Q3 2029</v>
      </c>
      <c r="BU3" s="25" t="str">
        <f t="shared" si="5"/>
        <v>Q4 2029</v>
      </c>
      <c r="BV3" s="25" t="str">
        <f t="shared" si="5"/>
        <v>Q4 2029</v>
      </c>
      <c r="BW3" s="25" t="str">
        <f t="shared" si="5"/>
        <v>Q4 2029</v>
      </c>
      <c r="BX3" s="25" t="str">
        <f t="shared" si="5"/>
        <v>Q1 2030</v>
      </c>
      <c r="BY3" s="25" t="str">
        <f t="shared" si="5"/>
        <v>Q1 2030</v>
      </c>
      <c r="BZ3" s="25" t="str">
        <f t="shared" si="5"/>
        <v>Q1 2030</v>
      </c>
      <c r="CA3" s="25" t="str">
        <f t="shared" si="5"/>
        <v>Q2 2030</v>
      </c>
      <c r="CB3" s="25" t="str">
        <f t="shared" si="5"/>
        <v>Q2 2030</v>
      </c>
      <c r="CC3" s="25" t="str">
        <f t="shared" ref="CC3:CI3" si="6">"Q"&amp;ROUNDUP(MONTH(CC6)/3,0)&amp;" "&amp;CC1</f>
        <v>Q2 2030</v>
      </c>
      <c r="CD3" s="25" t="str">
        <f t="shared" si="6"/>
        <v>Q3 2030</v>
      </c>
      <c r="CE3" s="25" t="str">
        <f t="shared" si="6"/>
        <v>Q3 2030</v>
      </c>
      <c r="CF3" s="25" t="str">
        <f t="shared" si="6"/>
        <v>Q3 2030</v>
      </c>
      <c r="CG3" s="25" t="str">
        <f t="shared" si="6"/>
        <v>Q4 2030</v>
      </c>
      <c r="CH3" s="25" t="str">
        <f t="shared" si="6"/>
        <v>Q4 2030</v>
      </c>
      <c r="CI3" s="25" t="str">
        <f t="shared" si="6"/>
        <v>Q4 2030</v>
      </c>
    </row>
    <row r="4" spans="1:119" ht="12.75" hidden="1" customHeight="1" outlineLevel="1"/>
    <row r="5" spans="1:119" ht="28.5" customHeight="1" collapsed="1">
      <c r="F5" s="27"/>
      <c r="G5" s="28"/>
      <c r="H5" s="28"/>
      <c r="I5" s="28"/>
      <c r="J5" s="28"/>
      <c r="K5" s="1" t="s">
        <v>128</v>
      </c>
      <c r="L5" s="1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  <c r="CK5" s="130"/>
      <c r="CL5" s="130"/>
      <c r="CM5" s="130"/>
      <c r="CN5" s="130"/>
      <c r="CO5" s="130"/>
      <c r="CP5" s="130"/>
      <c r="CQ5" s="130"/>
      <c r="CR5" s="130"/>
      <c r="CS5" s="130"/>
      <c r="CT5" s="130"/>
      <c r="CU5" s="130"/>
      <c r="CV5" s="130"/>
      <c r="CW5" s="130"/>
      <c r="CX5" s="130"/>
      <c r="CY5" s="130"/>
      <c r="CZ5" s="130"/>
      <c r="DA5" s="130"/>
      <c r="DB5" s="130"/>
      <c r="DC5" s="130"/>
      <c r="DD5" s="130"/>
      <c r="DE5" s="130"/>
      <c r="DF5" s="130"/>
      <c r="DG5" s="130"/>
      <c r="DH5" s="130"/>
      <c r="DI5" s="130"/>
      <c r="DJ5" s="130"/>
      <c r="DK5" s="130"/>
      <c r="DL5" s="130"/>
      <c r="DM5" s="130"/>
      <c r="DN5" s="130"/>
      <c r="DO5" s="2"/>
    </row>
    <row r="6" spans="1:119" ht="27.75" customHeight="1">
      <c r="G6" s="28"/>
      <c r="H6" s="28"/>
      <c r="I6" s="28"/>
      <c r="J6" s="28"/>
      <c r="K6" s="129" t="s">
        <v>129</v>
      </c>
      <c r="L6" s="129"/>
      <c r="M6" s="130"/>
      <c r="N6" s="29"/>
      <c r="O6" s="29"/>
      <c r="P6" s="30">
        <v>45658</v>
      </c>
      <c r="Q6" s="30">
        <v>45689</v>
      </c>
      <c r="R6" s="30">
        <v>45717</v>
      </c>
      <c r="S6" s="30">
        <v>45748</v>
      </c>
      <c r="T6" s="30">
        <v>45778</v>
      </c>
      <c r="U6" s="30">
        <v>45809</v>
      </c>
      <c r="V6" s="30">
        <v>45839</v>
      </c>
      <c r="W6" s="30">
        <v>45870</v>
      </c>
      <c r="X6" s="30">
        <v>45901</v>
      </c>
      <c r="Y6" s="30">
        <v>45931</v>
      </c>
      <c r="Z6" s="30">
        <v>45962</v>
      </c>
      <c r="AA6" s="30">
        <v>45992</v>
      </c>
      <c r="AB6" s="30">
        <v>46023</v>
      </c>
      <c r="AC6" s="30">
        <v>46054</v>
      </c>
      <c r="AD6" s="30">
        <v>46082</v>
      </c>
      <c r="AE6" s="30">
        <v>46113</v>
      </c>
      <c r="AF6" s="31">
        <v>46143</v>
      </c>
      <c r="AG6" s="30">
        <v>46174</v>
      </c>
      <c r="AH6" s="30">
        <v>46204</v>
      </c>
      <c r="AI6" s="30">
        <v>46235</v>
      </c>
      <c r="AJ6" s="30">
        <v>46266</v>
      </c>
      <c r="AK6" s="30">
        <v>46296</v>
      </c>
      <c r="AL6" s="30">
        <v>46327</v>
      </c>
      <c r="AM6" s="32">
        <v>46357</v>
      </c>
      <c r="AN6" s="30">
        <v>46388</v>
      </c>
      <c r="AO6" s="30">
        <v>46419</v>
      </c>
      <c r="AP6" s="30">
        <v>46447</v>
      </c>
      <c r="AQ6" s="30">
        <v>46478</v>
      </c>
      <c r="AR6" s="31">
        <v>46508</v>
      </c>
      <c r="AS6" s="30">
        <v>46539</v>
      </c>
      <c r="AT6" s="30">
        <v>46569</v>
      </c>
      <c r="AU6" s="30">
        <v>46600</v>
      </c>
      <c r="AV6" s="30">
        <v>46631</v>
      </c>
      <c r="AW6" s="30">
        <v>46661</v>
      </c>
      <c r="AX6" s="30">
        <v>46692</v>
      </c>
      <c r="AY6" s="32">
        <v>46722</v>
      </c>
      <c r="AZ6" s="30">
        <v>46753</v>
      </c>
      <c r="BA6" s="30">
        <v>46784</v>
      </c>
      <c r="BB6" s="30">
        <v>46813</v>
      </c>
      <c r="BC6" s="30">
        <v>46844</v>
      </c>
      <c r="BD6" s="31">
        <v>46874</v>
      </c>
      <c r="BE6" s="30">
        <v>46905</v>
      </c>
      <c r="BF6" s="30">
        <v>46935</v>
      </c>
      <c r="BG6" s="30">
        <v>46966</v>
      </c>
      <c r="BH6" s="30">
        <v>46997</v>
      </c>
      <c r="BI6" s="30">
        <v>47027</v>
      </c>
      <c r="BJ6" s="30">
        <v>47058</v>
      </c>
      <c r="BK6" s="32">
        <v>47088</v>
      </c>
      <c r="BL6" s="30">
        <v>47119</v>
      </c>
      <c r="BM6" s="30">
        <v>47150</v>
      </c>
      <c r="BN6" s="30">
        <v>47178</v>
      </c>
      <c r="BO6" s="30">
        <v>47209</v>
      </c>
      <c r="BP6" s="31">
        <v>47239</v>
      </c>
      <c r="BQ6" s="30">
        <v>47270</v>
      </c>
      <c r="BR6" s="30">
        <v>47300</v>
      </c>
      <c r="BS6" s="30">
        <v>47331</v>
      </c>
      <c r="BT6" s="30">
        <v>47362</v>
      </c>
      <c r="BU6" s="30">
        <v>47392</v>
      </c>
      <c r="BV6" s="30">
        <v>47423</v>
      </c>
      <c r="BW6" s="32">
        <v>47453</v>
      </c>
      <c r="BX6" s="30">
        <v>47484</v>
      </c>
      <c r="BY6" s="30">
        <v>47515</v>
      </c>
      <c r="BZ6" s="30">
        <v>47543</v>
      </c>
      <c r="CA6" s="30">
        <v>47574</v>
      </c>
      <c r="CB6" s="31">
        <v>47604</v>
      </c>
      <c r="CC6" s="30">
        <v>47635</v>
      </c>
      <c r="CD6" s="30">
        <v>47665</v>
      </c>
      <c r="CE6" s="30">
        <v>47696</v>
      </c>
      <c r="CF6" s="30">
        <v>47727</v>
      </c>
      <c r="CG6" s="30">
        <v>47757</v>
      </c>
      <c r="CH6" s="30">
        <v>47788</v>
      </c>
      <c r="CI6" s="32">
        <v>47818</v>
      </c>
      <c r="CJ6" s="33"/>
      <c r="CK6" s="29"/>
      <c r="CL6" s="29"/>
      <c r="CM6" s="29"/>
      <c r="CN6" s="34" t="s">
        <v>130</v>
      </c>
      <c r="CO6" s="34" t="s">
        <v>131</v>
      </c>
      <c r="CP6" s="34" t="s">
        <v>132</v>
      </c>
      <c r="CQ6" s="34" t="s">
        <v>133</v>
      </c>
      <c r="CR6" s="34" t="s">
        <v>134</v>
      </c>
      <c r="CS6" s="34" t="s">
        <v>135</v>
      </c>
      <c r="CT6" s="34" t="s">
        <v>136</v>
      </c>
      <c r="CU6" s="34" t="s">
        <v>137</v>
      </c>
      <c r="CV6" s="34" t="s">
        <v>138</v>
      </c>
      <c r="CW6" s="34" t="s">
        <v>139</v>
      </c>
      <c r="CX6" s="34" t="s">
        <v>140</v>
      </c>
      <c r="CY6" s="34" t="s">
        <v>141</v>
      </c>
      <c r="CZ6" s="34" t="s">
        <v>142</v>
      </c>
      <c r="DA6" s="34" t="s">
        <v>143</v>
      </c>
      <c r="DB6" s="34" t="s">
        <v>144</v>
      </c>
      <c r="DC6" s="34" t="s">
        <v>145</v>
      </c>
      <c r="DD6" s="34" t="s">
        <v>146</v>
      </c>
      <c r="DE6" s="34" t="s">
        <v>147</v>
      </c>
      <c r="DF6" s="34" t="s">
        <v>148</v>
      </c>
      <c r="DG6" s="34" t="s">
        <v>149</v>
      </c>
      <c r="DH6" s="34" t="s">
        <v>150</v>
      </c>
      <c r="DI6" s="33"/>
      <c r="DJ6" s="34">
        <v>2025</v>
      </c>
      <c r="DK6" s="34">
        <v>2026</v>
      </c>
      <c r="DL6" s="34">
        <v>2027</v>
      </c>
      <c r="DM6" s="34">
        <v>2028</v>
      </c>
      <c r="DN6" s="34">
        <v>2029</v>
      </c>
      <c r="DO6" s="34">
        <v>2030</v>
      </c>
    </row>
    <row r="7" spans="1:119" ht="26.45" thickBot="1">
      <c r="A7" s="23">
        <v>1</v>
      </c>
      <c r="B7" s="35" t="s">
        <v>151</v>
      </c>
      <c r="C7" s="35" t="s">
        <v>152</v>
      </c>
      <c r="D7" s="35" t="s">
        <v>153</v>
      </c>
      <c r="E7" s="35" t="s">
        <v>154</v>
      </c>
      <c r="F7" s="35" t="s">
        <v>155</v>
      </c>
      <c r="G7" s="35" t="s">
        <v>156</v>
      </c>
      <c r="H7" s="36" t="s">
        <v>157</v>
      </c>
      <c r="I7" s="37" t="s">
        <v>158</v>
      </c>
      <c r="J7" s="37" t="s">
        <v>159</v>
      </c>
      <c r="K7" s="37" t="s">
        <v>160</v>
      </c>
      <c r="L7" s="37" t="s">
        <v>161</v>
      </c>
      <c r="M7" s="37" t="s">
        <v>162</v>
      </c>
      <c r="N7" s="37" t="s">
        <v>163</v>
      </c>
      <c r="O7" s="37" t="s">
        <v>164</v>
      </c>
      <c r="R7" s="38"/>
      <c r="S7" s="39"/>
      <c r="U7" s="38"/>
      <c r="V7" s="39"/>
      <c r="X7" s="38"/>
      <c r="Y7" s="39"/>
      <c r="AA7" s="38"/>
      <c r="AB7" s="39"/>
      <c r="AD7" s="38"/>
      <c r="AE7" s="39"/>
      <c r="AG7" s="38"/>
      <c r="AH7" s="39"/>
      <c r="AJ7" s="38"/>
      <c r="AK7" s="39"/>
      <c r="AM7" s="38"/>
      <c r="AN7" s="39"/>
      <c r="AP7" s="38"/>
      <c r="AQ7" s="39"/>
      <c r="AS7" s="38"/>
      <c r="AT7" s="39"/>
      <c r="AV7" s="38"/>
      <c r="AW7" s="39"/>
      <c r="AY7" s="38"/>
      <c r="AZ7" s="39"/>
      <c r="BB7" s="38"/>
      <c r="BC7" s="39"/>
      <c r="BE7" s="38"/>
      <c r="BF7" s="39"/>
      <c r="BH7" s="38"/>
      <c r="BI7" s="39"/>
      <c r="BK7" s="38"/>
      <c r="BL7" s="39"/>
      <c r="BN7" s="38"/>
      <c r="BO7" s="39"/>
      <c r="BQ7" s="38"/>
      <c r="BR7" s="39"/>
      <c r="BT7" s="38"/>
      <c r="BU7" s="39"/>
      <c r="BW7" s="38"/>
      <c r="BX7" s="39"/>
      <c r="BZ7" s="38"/>
      <c r="CA7" s="39"/>
      <c r="CC7" s="38"/>
      <c r="CD7" s="39"/>
      <c r="CF7" s="38"/>
      <c r="CG7" s="39"/>
      <c r="CI7" s="38"/>
      <c r="CJ7" s="40"/>
      <c r="CK7" s="41"/>
      <c r="CL7" s="41"/>
      <c r="CM7" s="41"/>
      <c r="CN7" s="41"/>
      <c r="CO7" s="41"/>
      <c r="CP7" s="41"/>
      <c r="CQ7" s="41"/>
      <c r="CR7" s="41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1"/>
      <c r="DK7" s="41"/>
      <c r="DL7" s="42"/>
      <c r="DM7" s="42"/>
      <c r="DN7" s="42"/>
      <c r="DO7" s="43"/>
    </row>
    <row r="8" spans="1:119" s="100" customFormat="1" ht="15" thickTop="1">
      <c r="A8" s="100">
        <f>A7+1</f>
        <v>2</v>
      </c>
      <c r="B8" s="100" t="s">
        <v>165</v>
      </c>
      <c r="C8" s="100">
        <v>40000</v>
      </c>
      <c r="D8" s="100" t="s">
        <v>166</v>
      </c>
      <c r="E8" s="101" t="s">
        <v>165</v>
      </c>
      <c r="F8" s="102" t="str">
        <f>IF(G8="","",LEFT(G8,4))</f>
        <v>4800</v>
      </c>
      <c r="G8" s="100" t="s">
        <v>167</v>
      </c>
      <c r="H8" s="102" t="str">
        <f t="shared" ref="H8:H51" si="7">IF(I8="","",LEFT(I8,5))</f>
        <v>I0001</v>
      </c>
      <c r="I8" s="100" t="s">
        <v>168</v>
      </c>
      <c r="K8" s="103" t="s">
        <v>169</v>
      </c>
      <c r="L8" s="104">
        <v>46023</v>
      </c>
      <c r="M8" s="105">
        <v>120000</v>
      </c>
      <c r="N8" s="106">
        <v>120</v>
      </c>
      <c r="O8" s="107">
        <f>IF(L8="","",EDATE(L8,N8-1))</f>
        <v>49644</v>
      </c>
      <c r="P8" s="108">
        <f t="shared" ref="P8:AE23" si="8">IF($L8=P$6,$M8,0)</f>
        <v>0</v>
      </c>
      <c r="Q8" s="108">
        <f t="shared" si="8"/>
        <v>0</v>
      </c>
      <c r="R8" s="109">
        <f t="shared" si="8"/>
        <v>0</v>
      </c>
      <c r="S8" s="110">
        <f t="shared" si="8"/>
        <v>0</v>
      </c>
      <c r="T8" s="108">
        <f t="shared" si="8"/>
        <v>0</v>
      </c>
      <c r="U8" s="109">
        <f t="shared" si="8"/>
        <v>0</v>
      </c>
      <c r="V8" s="110">
        <f t="shared" si="8"/>
        <v>0</v>
      </c>
      <c r="W8" s="108">
        <f t="shared" si="8"/>
        <v>0</v>
      </c>
      <c r="X8" s="109">
        <f t="shared" si="8"/>
        <v>0</v>
      </c>
      <c r="Y8" s="110">
        <f t="shared" si="8"/>
        <v>0</v>
      </c>
      <c r="Z8" s="108">
        <f t="shared" si="8"/>
        <v>0</v>
      </c>
      <c r="AA8" s="109">
        <f t="shared" si="8"/>
        <v>0</v>
      </c>
      <c r="AB8" s="110">
        <f t="shared" si="8"/>
        <v>120000</v>
      </c>
      <c r="AC8" s="108">
        <f t="shared" si="8"/>
        <v>0</v>
      </c>
      <c r="AD8" s="109">
        <f t="shared" si="8"/>
        <v>0</v>
      </c>
      <c r="AE8" s="110">
        <f t="shared" si="8"/>
        <v>0</v>
      </c>
      <c r="AF8" s="108">
        <f t="shared" ref="AF8:AU23" si="9">IF($L8=AF$6,$M8,0)</f>
        <v>0</v>
      </c>
      <c r="AG8" s="109">
        <f t="shared" si="9"/>
        <v>0</v>
      </c>
      <c r="AH8" s="110">
        <f t="shared" si="9"/>
        <v>0</v>
      </c>
      <c r="AI8" s="108">
        <f t="shared" si="9"/>
        <v>0</v>
      </c>
      <c r="AJ8" s="109">
        <f t="shared" si="9"/>
        <v>0</v>
      </c>
      <c r="AK8" s="110">
        <f t="shared" si="9"/>
        <v>0</v>
      </c>
      <c r="AL8" s="108">
        <f t="shared" si="9"/>
        <v>0</v>
      </c>
      <c r="AM8" s="109">
        <f t="shared" si="9"/>
        <v>0</v>
      </c>
      <c r="AN8" s="110">
        <f t="shared" si="9"/>
        <v>0</v>
      </c>
      <c r="AO8" s="108">
        <f t="shared" si="9"/>
        <v>0</v>
      </c>
      <c r="AP8" s="109">
        <f t="shared" si="9"/>
        <v>0</v>
      </c>
      <c r="AQ8" s="110">
        <f t="shared" si="9"/>
        <v>0</v>
      </c>
      <c r="AR8" s="108">
        <f t="shared" si="9"/>
        <v>0</v>
      </c>
      <c r="AS8" s="109">
        <f t="shared" si="9"/>
        <v>0</v>
      </c>
      <c r="AT8" s="110">
        <f t="shared" si="9"/>
        <v>0</v>
      </c>
      <c r="AU8" s="108">
        <f t="shared" si="9"/>
        <v>0</v>
      </c>
      <c r="AV8" s="109">
        <f t="shared" ref="AV8:BK23" si="10">IF($L8=AV$6,$M8,0)</f>
        <v>0</v>
      </c>
      <c r="AW8" s="110">
        <f t="shared" si="10"/>
        <v>0</v>
      </c>
      <c r="AX8" s="108">
        <f t="shared" si="10"/>
        <v>0</v>
      </c>
      <c r="AY8" s="109">
        <f t="shared" si="10"/>
        <v>0</v>
      </c>
      <c r="AZ8" s="110">
        <f t="shared" si="10"/>
        <v>0</v>
      </c>
      <c r="BA8" s="108">
        <f t="shared" si="10"/>
        <v>0</v>
      </c>
      <c r="BB8" s="109">
        <f t="shared" si="10"/>
        <v>0</v>
      </c>
      <c r="BC8" s="110">
        <f t="shared" si="10"/>
        <v>0</v>
      </c>
      <c r="BD8" s="108">
        <f t="shared" si="10"/>
        <v>0</v>
      </c>
      <c r="BE8" s="109">
        <f t="shared" si="10"/>
        <v>0</v>
      </c>
      <c r="BF8" s="110">
        <f t="shared" si="10"/>
        <v>0</v>
      </c>
      <c r="BG8" s="108">
        <f t="shared" si="10"/>
        <v>0</v>
      </c>
      <c r="BH8" s="109">
        <f t="shared" si="10"/>
        <v>0</v>
      </c>
      <c r="BI8" s="110">
        <f t="shared" si="10"/>
        <v>0</v>
      </c>
      <c r="BJ8" s="108">
        <f t="shared" si="10"/>
        <v>0</v>
      </c>
      <c r="BK8" s="109">
        <f t="shared" si="10"/>
        <v>0</v>
      </c>
      <c r="BL8" s="110">
        <f t="shared" ref="BL8:CA23" si="11">IF($L8=BL$6,$M8,0)</f>
        <v>0</v>
      </c>
      <c r="BM8" s="108">
        <f t="shared" si="11"/>
        <v>0</v>
      </c>
      <c r="BN8" s="109">
        <f t="shared" si="11"/>
        <v>0</v>
      </c>
      <c r="BO8" s="110">
        <f t="shared" si="11"/>
        <v>0</v>
      </c>
      <c r="BP8" s="108">
        <f t="shared" si="11"/>
        <v>0</v>
      </c>
      <c r="BQ8" s="109">
        <f t="shared" si="11"/>
        <v>0</v>
      </c>
      <c r="BR8" s="110">
        <f t="shared" si="11"/>
        <v>0</v>
      </c>
      <c r="BS8" s="108">
        <f t="shared" si="11"/>
        <v>0</v>
      </c>
      <c r="BT8" s="109">
        <f t="shared" si="11"/>
        <v>0</v>
      </c>
      <c r="BU8" s="110">
        <f t="shared" si="11"/>
        <v>0</v>
      </c>
      <c r="BV8" s="108">
        <f t="shared" si="11"/>
        <v>0</v>
      </c>
      <c r="BW8" s="109">
        <f t="shared" si="11"/>
        <v>0</v>
      </c>
      <c r="BX8" s="110">
        <f t="shared" si="11"/>
        <v>0</v>
      </c>
      <c r="BY8" s="108">
        <f t="shared" si="11"/>
        <v>0</v>
      </c>
      <c r="BZ8" s="109">
        <f t="shared" si="11"/>
        <v>0</v>
      </c>
      <c r="CA8" s="110">
        <f t="shared" si="11"/>
        <v>0</v>
      </c>
      <c r="CB8" s="108">
        <f t="shared" ref="BX8:CI23" si="12">IF($L8=CB$6,$M8,0)</f>
        <v>0</v>
      </c>
      <c r="CC8" s="109">
        <f t="shared" si="12"/>
        <v>0</v>
      </c>
      <c r="CD8" s="110">
        <f t="shared" si="12"/>
        <v>0</v>
      </c>
      <c r="CE8" s="108">
        <f t="shared" si="12"/>
        <v>0</v>
      </c>
      <c r="CF8" s="109">
        <f t="shared" si="12"/>
        <v>0</v>
      </c>
      <c r="CG8" s="110">
        <f t="shared" si="12"/>
        <v>0</v>
      </c>
      <c r="CH8" s="108">
        <f t="shared" si="12"/>
        <v>0</v>
      </c>
      <c r="CI8" s="109">
        <f t="shared" si="12"/>
        <v>0</v>
      </c>
      <c r="CJ8" s="111"/>
      <c r="CK8" s="112">
        <f t="shared" ref="CK8:CK52" si="13">SUM(P8:R8)</f>
        <v>0</v>
      </c>
      <c r="CL8" s="112">
        <f t="shared" ref="CL8:CL52" si="14">SUM(S8:U8)</f>
        <v>0</v>
      </c>
      <c r="CM8" s="112">
        <f t="shared" ref="CM8:CM52" si="15">SUM(V8:X8)</f>
        <v>0</v>
      </c>
      <c r="CN8" s="112">
        <f t="shared" ref="CN8:CN52" si="16">SUM(Y8:AA8)</f>
        <v>0</v>
      </c>
      <c r="CO8" s="112">
        <f t="shared" ref="CO8:CO52" si="17">SUM(AB8:AD8)</f>
        <v>120000</v>
      </c>
      <c r="CP8" s="112">
        <f t="shared" ref="CP8:CP52" si="18">SUM(AE8:AG8)</f>
        <v>0</v>
      </c>
      <c r="CQ8" s="112">
        <f t="shared" ref="CQ8:CQ52" si="19">SUM(AH8:AJ8)</f>
        <v>0</v>
      </c>
      <c r="CR8" s="112">
        <f t="shared" ref="CR8:CR52" si="20">SUM(AK8:AM8)</f>
        <v>0</v>
      </c>
      <c r="CS8" s="113">
        <f>SUMIFS($P8:$CI8,$P$3:$CI$3,CS$6)</f>
        <v>0</v>
      </c>
      <c r="CT8" s="114">
        <f t="shared" ref="CT8:DH23" si="21">SUMIFS($P8:$CI8,$P$3:$CI$3,CT$6)</f>
        <v>0</v>
      </c>
      <c r="CU8" s="114">
        <f t="shared" si="21"/>
        <v>0</v>
      </c>
      <c r="CV8" s="114">
        <f t="shared" si="21"/>
        <v>0</v>
      </c>
      <c r="CW8" s="114">
        <f t="shared" si="21"/>
        <v>0</v>
      </c>
      <c r="CX8" s="114">
        <f t="shared" si="21"/>
        <v>0</v>
      </c>
      <c r="CY8" s="114">
        <f t="shared" si="21"/>
        <v>0</v>
      </c>
      <c r="CZ8" s="114">
        <f t="shared" si="21"/>
        <v>0</v>
      </c>
      <c r="DA8" s="114">
        <f t="shared" si="21"/>
        <v>0</v>
      </c>
      <c r="DB8" s="114">
        <f t="shared" si="21"/>
        <v>0</v>
      </c>
      <c r="DC8" s="114">
        <f t="shared" si="21"/>
        <v>0</v>
      </c>
      <c r="DD8" s="114">
        <f t="shared" si="21"/>
        <v>0</v>
      </c>
      <c r="DE8" s="114">
        <f t="shared" si="21"/>
        <v>0</v>
      </c>
      <c r="DF8" s="114">
        <f t="shared" si="21"/>
        <v>0</v>
      </c>
      <c r="DG8" s="114">
        <f t="shared" si="21"/>
        <v>0</v>
      </c>
      <c r="DH8" s="114">
        <f t="shared" si="21"/>
        <v>0</v>
      </c>
      <c r="DI8" s="111"/>
      <c r="DJ8" s="112">
        <f t="shared" ref="DJ8:DO23" si="22">SUMIFS($CK8:$DH8,$CK$1:$DH$1,DJ$6)</f>
        <v>0</v>
      </c>
      <c r="DK8" s="115">
        <f t="shared" si="22"/>
        <v>120000</v>
      </c>
      <c r="DL8" s="116">
        <f t="shared" si="22"/>
        <v>0</v>
      </c>
      <c r="DM8" s="116">
        <f t="shared" si="22"/>
        <v>0</v>
      </c>
      <c r="DN8" s="116">
        <f t="shared" si="22"/>
        <v>0</v>
      </c>
      <c r="DO8" s="117">
        <f t="shared" si="22"/>
        <v>0</v>
      </c>
    </row>
    <row r="9" spans="1:119" s="100" customFormat="1" ht="14.45">
      <c r="A9" s="100">
        <f t="shared" ref="A9:A52" si="23">A8+1</f>
        <v>3</v>
      </c>
      <c r="B9" s="100" t="s">
        <v>165</v>
      </c>
      <c r="C9" s="100">
        <v>40000</v>
      </c>
      <c r="D9" s="100" t="s">
        <v>166</v>
      </c>
      <c r="E9" s="101" t="s">
        <v>165</v>
      </c>
      <c r="F9" s="102" t="str">
        <f t="shared" ref="F9:F52" si="24">IF(G9="","",LEFT(G9,4))</f>
        <v>4800</v>
      </c>
      <c r="G9" s="100" t="s">
        <v>167</v>
      </c>
      <c r="H9" s="102" t="str">
        <f t="shared" si="7"/>
        <v>I0001</v>
      </c>
      <c r="I9" s="100" t="s">
        <v>168</v>
      </c>
      <c r="K9" s="103" t="s">
        <v>170</v>
      </c>
      <c r="L9" s="104">
        <v>45992</v>
      </c>
      <c r="M9" s="105">
        <v>250000</v>
      </c>
      <c r="N9" s="106">
        <v>36</v>
      </c>
      <c r="O9" s="107">
        <f t="shared" ref="O9:O52" si="25">IF(L9="","",EDATE(L9,N9-1))</f>
        <v>47058</v>
      </c>
      <c r="P9" s="108">
        <f t="shared" si="8"/>
        <v>0</v>
      </c>
      <c r="Q9" s="108">
        <f t="shared" si="8"/>
        <v>0</v>
      </c>
      <c r="R9" s="109">
        <f t="shared" si="8"/>
        <v>0</v>
      </c>
      <c r="S9" s="110">
        <f t="shared" si="8"/>
        <v>0</v>
      </c>
      <c r="T9" s="108">
        <f t="shared" si="8"/>
        <v>0</v>
      </c>
      <c r="U9" s="109">
        <f t="shared" si="8"/>
        <v>0</v>
      </c>
      <c r="V9" s="110">
        <f t="shared" si="8"/>
        <v>0</v>
      </c>
      <c r="W9" s="108">
        <f t="shared" si="8"/>
        <v>0</v>
      </c>
      <c r="X9" s="109">
        <f t="shared" si="8"/>
        <v>0</v>
      </c>
      <c r="Y9" s="110">
        <f t="shared" si="8"/>
        <v>0</v>
      </c>
      <c r="Z9" s="108">
        <f t="shared" si="8"/>
        <v>0</v>
      </c>
      <c r="AA9" s="109">
        <f t="shared" si="8"/>
        <v>250000</v>
      </c>
      <c r="AB9" s="110">
        <f t="shared" si="8"/>
        <v>0</v>
      </c>
      <c r="AC9" s="108">
        <f t="shared" si="8"/>
        <v>0</v>
      </c>
      <c r="AD9" s="109">
        <f t="shared" si="8"/>
        <v>0</v>
      </c>
      <c r="AE9" s="110">
        <f t="shared" si="8"/>
        <v>0</v>
      </c>
      <c r="AF9" s="108">
        <f t="shared" si="9"/>
        <v>0</v>
      </c>
      <c r="AG9" s="109">
        <f t="shared" si="9"/>
        <v>0</v>
      </c>
      <c r="AH9" s="110">
        <f t="shared" si="9"/>
        <v>0</v>
      </c>
      <c r="AI9" s="108">
        <f t="shared" si="9"/>
        <v>0</v>
      </c>
      <c r="AJ9" s="109">
        <f t="shared" si="9"/>
        <v>0</v>
      </c>
      <c r="AK9" s="110">
        <f t="shared" si="9"/>
        <v>0</v>
      </c>
      <c r="AL9" s="108">
        <f t="shared" si="9"/>
        <v>0</v>
      </c>
      <c r="AM9" s="109">
        <f t="shared" si="9"/>
        <v>0</v>
      </c>
      <c r="AN9" s="110">
        <f t="shared" si="9"/>
        <v>0</v>
      </c>
      <c r="AO9" s="108">
        <f t="shared" si="9"/>
        <v>0</v>
      </c>
      <c r="AP9" s="109">
        <f t="shared" si="9"/>
        <v>0</v>
      </c>
      <c r="AQ9" s="110">
        <f t="shared" si="9"/>
        <v>0</v>
      </c>
      <c r="AR9" s="108">
        <f t="shared" si="9"/>
        <v>0</v>
      </c>
      <c r="AS9" s="109">
        <f t="shared" si="9"/>
        <v>0</v>
      </c>
      <c r="AT9" s="110">
        <f t="shared" si="9"/>
        <v>0</v>
      </c>
      <c r="AU9" s="108">
        <f t="shared" si="9"/>
        <v>0</v>
      </c>
      <c r="AV9" s="109">
        <f t="shared" si="10"/>
        <v>0</v>
      </c>
      <c r="AW9" s="110">
        <f t="shared" si="10"/>
        <v>0</v>
      </c>
      <c r="AX9" s="108">
        <f t="shared" si="10"/>
        <v>0</v>
      </c>
      <c r="AY9" s="109">
        <f t="shared" si="10"/>
        <v>0</v>
      </c>
      <c r="AZ9" s="110">
        <f t="shared" si="10"/>
        <v>0</v>
      </c>
      <c r="BA9" s="108">
        <f t="shared" si="10"/>
        <v>0</v>
      </c>
      <c r="BB9" s="109">
        <f t="shared" si="10"/>
        <v>0</v>
      </c>
      <c r="BC9" s="110">
        <f t="shared" si="10"/>
        <v>0</v>
      </c>
      <c r="BD9" s="108">
        <f t="shared" si="10"/>
        <v>0</v>
      </c>
      <c r="BE9" s="109">
        <f t="shared" si="10"/>
        <v>0</v>
      </c>
      <c r="BF9" s="110">
        <f t="shared" si="10"/>
        <v>0</v>
      </c>
      <c r="BG9" s="108">
        <f t="shared" si="10"/>
        <v>0</v>
      </c>
      <c r="BH9" s="109">
        <f t="shared" si="10"/>
        <v>0</v>
      </c>
      <c r="BI9" s="110">
        <f t="shared" si="10"/>
        <v>0</v>
      </c>
      <c r="BJ9" s="108">
        <f t="shared" si="10"/>
        <v>0</v>
      </c>
      <c r="BK9" s="109">
        <f t="shared" si="10"/>
        <v>0</v>
      </c>
      <c r="BL9" s="110">
        <f t="shared" si="11"/>
        <v>0</v>
      </c>
      <c r="BM9" s="108">
        <f t="shared" si="11"/>
        <v>0</v>
      </c>
      <c r="BN9" s="109">
        <f t="shared" si="11"/>
        <v>0</v>
      </c>
      <c r="BO9" s="110">
        <f t="shared" si="11"/>
        <v>0</v>
      </c>
      <c r="BP9" s="108">
        <f t="shared" si="11"/>
        <v>0</v>
      </c>
      <c r="BQ9" s="109">
        <f t="shared" si="11"/>
        <v>0</v>
      </c>
      <c r="BR9" s="110">
        <f t="shared" si="11"/>
        <v>0</v>
      </c>
      <c r="BS9" s="108">
        <f t="shared" si="11"/>
        <v>0</v>
      </c>
      <c r="BT9" s="109">
        <f t="shared" si="11"/>
        <v>0</v>
      </c>
      <c r="BU9" s="110">
        <f t="shared" si="11"/>
        <v>0</v>
      </c>
      <c r="BV9" s="108">
        <f t="shared" si="11"/>
        <v>0</v>
      </c>
      <c r="BW9" s="109">
        <f t="shared" si="11"/>
        <v>0</v>
      </c>
      <c r="BX9" s="110">
        <f t="shared" si="12"/>
        <v>0</v>
      </c>
      <c r="BY9" s="108">
        <f t="shared" si="12"/>
        <v>0</v>
      </c>
      <c r="BZ9" s="109">
        <f t="shared" si="12"/>
        <v>0</v>
      </c>
      <c r="CA9" s="110">
        <f t="shared" si="12"/>
        <v>0</v>
      </c>
      <c r="CB9" s="108">
        <f t="shared" si="12"/>
        <v>0</v>
      </c>
      <c r="CC9" s="109">
        <f t="shared" si="12"/>
        <v>0</v>
      </c>
      <c r="CD9" s="110">
        <f t="shared" si="12"/>
        <v>0</v>
      </c>
      <c r="CE9" s="108">
        <f t="shared" si="12"/>
        <v>0</v>
      </c>
      <c r="CF9" s="109">
        <f t="shared" si="12"/>
        <v>0</v>
      </c>
      <c r="CG9" s="110">
        <f t="shared" si="12"/>
        <v>0</v>
      </c>
      <c r="CH9" s="108">
        <f t="shared" si="12"/>
        <v>0</v>
      </c>
      <c r="CI9" s="109">
        <f t="shared" si="12"/>
        <v>0</v>
      </c>
      <c r="CJ9" s="111"/>
      <c r="CK9" s="112">
        <f t="shared" si="13"/>
        <v>0</v>
      </c>
      <c r="CL9" s="112">
        <f t="shared" si="14"/>
        <v>0</v>
      </c>
      <c r="CM9" s="112">
        <f t="shared" si="15"/>
        <v>0</v>
      </c>
      <c r="CN9" s="112">
        <f t="shared" si="16"/>
        <v>250000</v>
      </c>
      <c r="CO9" s="112">
        <f t="shared" si="17"/>
        <v>0</v>
      </c>
      <c r="CP9" s="112">
        <f t="shared" si="18"/>
        <v>0</v>
      </c>
      <c r="CQ9" s="112">
        <f t="shared" si="19"/>
        <v>0</v>
      </c>
      <c r="CR9" s="112">
        <f t="shared" si="20"/>
        <v>0</v>
      </c>
      <c r="CS9" s="114">
        <f t="shared" ref="CS9:DH24" si="26">SUMIFS($P9:$CI9,$P$3:$CI$3,CS$6)</f>
        <v>0</v>
      </c>
      <c r="CT9" s="114">
        <f t="shared" si="21"/>
        <v>0</v>
      </c>
      <c r="CU9" s="114">
        <f t="shared" si="21"/>
        <v>0</v>
      </c>
      <c r="CV9" s="114">
        <f t="shared" si="21"/>
        <v>0</v>
      </c>
      <c r="CW9" s="114">
        <f t="shared" si="21"/>
        <v>0</v>
      </c>
      <c r="CX9" s="114">
        <f t="shared" si="21"/>
        <v>0</v>
      </c>
      <c r="CY9" s="114">
        <f t="shared" si="21"/>
        <v>0</v>
      </c>
      <c r="CZ9" s="114">
        <f t="shared" si="21"/>
        <v>0</v>
      </c>
      <c r="DA9" s="114">
        <f t="shared" si="21"/>
        <v>0</v>
      </c>
      <c r="DB9" s="114">
        <f t="shared" si="21"/>
        <v>0</v>
      </c>
      <c r="DC9" s="114">
        <f t="shared" si="21"/>
        <v>0</v>
      </c>
      <c r="DD9" s="114">
        <f t="shared" si="21"/>
        <v>0</v>
      </c>
      <c r="DE9" s="114">
        <f t="shared" si="21"/>
        <v>0</v>
      </c>
      <c r="DF9" s="114">
        <f t="shared" si="21"/>
        <v>0</v>
      </c>
      <c r="DG9" s="114">
        <f t="shared" si="21"/>
        <v>0</v>
      </c>
      <c r="DH9" s="114">
        <f t="shared" si="21"/>
        <v>0</v>
      </c>
      <c r="DI9" s="111"/>
      <c r="DJ9" s="112">
        <f t="shared" si="22"/>
        <v>250000</v>
      </c>
      <c r="DK9" s="115">
        <f t="shared" si="22"/>
        <v>0</v>
      </c>
      <c r="DL9" s="116">
        <f t="shared" si="22"/>
        <v>0</v>
      </c>
      <c r="DM9" s="116">
        <f t="shared" si="22"/>
        <v>0</v>
      </c>
      <c r="DN9" s="116">
        <f t="shared" si="22"/>
        <v>0</v>
      </c>
      <c r="DO9" s="117">
        <f t="shared" si="22"/>
        <v>0</v>
      </c>
    </row>
    <row r="10" spans="1:119" ht="14.45">
      <c r="A10" s="23">
        <f t="shared" si="23"/>
        <v>4</v>
      </c>
      <c r="B10" s="23" t="s">
        <v>165</v>
      </c>
      <c r="E10" s="44" t="s">
        <v>171</v>
      </c>
      <c r="F10" s="45" t="str">
        <f t="shared" si="24"/>
        <v>4800</v>
      </c>
      <c r="G10" s="23" t="s">
        <v>167</v>
      </c>
      <c r="H10" s="45" t="str">
        <f t="shared" si="7"/>
        <v>M9000</v>
      </c>
      <c r="I10" s="23" t="s">
        <v>172</v>
      </c>
      <c r="J10" s="23" t="s">
        <v>6</v>
      </c>
      <c r="K10" s="46" t="s">
        <v>100</v>
      </c>
      <c r="L10" s="47">
        <v>45778</v>
      </c>
      <c r="M10" s="48">
        <v>129000</v>
      </c>
      <c r="N10" s="49">
        <v>120</v>
      </c>
      <c r="O10" s="50">
        <f t="shared" si="25"/>
        <v>49400</v>
      </c>
      <c r="P10" s="51">
        <f t="shared" si="8"/>
        <v>0</v>
      </c>
      <c r="Q10" s="51">
        <f t="shared" si="8"/>
        <v>0</v>
      </c>
      <c r="R10" s="52">
        <f t="shared" si="8"/>
        <v>0</v>
      </c>
      <c r="S10" s="53">
        <f t="shared" si="8"/>
        <v>0</v>
      </c>
      <c r="T10" s="51">
        <f t="shared" si="8"/>
        <v>129000</v>
      </c>
      <c r="U10" s="52">
        <f t="shared" si="8"/>
        <v>0</v>
      </c>
      <c r="V10" s="53">
        <f t="shared" si="8"/>
        <v>0</v>
      </c>
      <c r="W10" s="51">
        <f t="shared" si="8"/>
        <v>0</v>
      </c>
      <c r="X10" s="52">
        <f t="shared" si="8"/>
        <v>0</v>
      </c>
      <c r="Y10" s="53">
        <f t="shared" si="8"/>
        <v>0</v>
      </c>
      <c r="Z10" s="51">
        <f t="shared" si="8"/>
        <v>0</v>
      </c>
      <c r="AA10" s="52">
        <f t="shared" si="8"/>
        <v>0</v>
      </c>
      <c r="AB10" s="53">
        <f t="shared" si="8"/>
        <v>0</v>
      </c>
      <c r="AC10" s="51">
        <f t="shared" si="8"/>
        <v>0</v>
      </c>
      <c r="AD10" s="52">
        <f t="shared" si="8"/>
        <v>0</v>
      </c>
      <c r="AE10" s="53">
        <f t="shared" si="8"/>
        <v>0</v>
      </c>
      <c r="AF10" s="51">
        <f t="shared" si="9"/>
        <v>0</v>
      </c>
      <c r="AG10" s="52">
        <f t="shared" si="9"/>
        <v>0</v>
      </c>
      <c r="AH10" s="53">
        <f t="shared" si="9"/>
        <v>0</v>
      </c>
      <c r="AI10" s="51">
        <f t="shared" si="9"/>
        <v>0</v>
      </c>
      <c r="AJ10" s="52">
        <f t="shared" si="9"/>
        <v>0</v>
      </c>
      <c r="AK10" s="53">
        <f t="shared" si="9"/>
        <v>0</v>
      </c>
      <c r="AL10" s="51">
        <f t="shared" si="9"/>
        <v>0</v>
      </c>
      <c r="AM10" s="52">
        <f t="shared" si="9"/>
        <v>0</v>
      </c>
      <c r="AN10" s="53">
        <f t="shared" si="9"/>
        <v>0</v>
      </c>
      <c r="AO10" s="51">
        <f t="shared" si="9"/>
        <v>0</v>
      </c>
      <c r="AP10" s="52">
        <f t="shared" si="9"/>
        <v>0</v>
      </c>
      <c r="AQ10" s="53">
        <f t="shared" si="9"/>
        <v>0</v>
      </c>
      <c r="AR10" s="51">
        <f t="shared" si="9"/>
        <v>0</v>
      </c>
      <c r="AS10" s="52">
        <f t="shared" si="9"/>
        <v>0</v>
      </c>
      <c r="AT10" s="53">
        <f t="shared" si="9"/>
        <v>0</v>
      </c>
      <c r="AU10" s="51">
        <f t="shared" si="9"/>
        <v>0</v>
      </c>
      <c r="AV10" s="52">
        <f t="shared" si="10"/>
        <v>0</v>
      </c>
      <c r="AW10" s="53">
        <f t="shared" si="10"/>
        <v>0</v>
      </c>
      <c r="AX10" s="51">
        <f t="shared" si="10"/>
        <v>0</v>
      </c>
      <c r="AY10" s="52">
        <f t="shared" si="10"/>
        <v>0</v>
      </c>
      <c r="AZ10" s="53">
        <f t="shared" si="10"/>
        <v>0</v>
      </c>
      <c r="BA10" s="51">
        <f t="shared" si="10"/>
        <v>0</v>
      </c>
      <c r="BB10" s="52">
        <f t="shared" si="10"/>
        <v>0</v>
      </c>
      <c r="BC10" s="53">
        <f t="shared" si="10"/>
        <v>0</v>
      </c>
      <c r="BD10" s="51">
        <f t="shared" si="10"/>
        <v>0</v>
      </c>
      <c r="BE10" s="52">
        <f t="shared" si="10"/>
        <v>0</v>
      </c>
      <c r="BF10" s="53">
        <f t="shared" si="10"/>
        <v>0</v>
      </c>
      <c r="BG10" s="51">
        <f t="shared" si="10"/>
        <v>0</v>
      </c>
      <c r="BH10" s="52">
        <f t="shared" si="10"/>
        <v>0</v>
      </c>
      <c r="BI10" s="53">
        <f t="shared" si="10"/>
        <v>0</v>
      </c>
      <c r="BJ10" s="51">
        <f t="shared" si="10"/>
        <v>0</v>
      </c>
      <c r="BK10" s="52">
        <f t="shared" si="10"/>
        <v>0</v>
      </c>
      <c r="BL10" s="53">
        <f t="shared" si="11"/>
        <v>0</v>
      </c>
      <c r="BM10" s="51">
        <f t="shared" si="11"/>
        <v>0</v>
      </c>
      <c r="BN10" s="52">
        <f t="shared" si="11"/>
        <v>0</v>
      </c>
      <c r="BO10" s="53">
        <f t="shared" si="11"/>
        <v>0</v>
      </c>
      <c r="BP10" s="51">
        <f t="shared" si="11"/>
        <v>0</v>
      </c>
      <c r="BQ10" s="52">
        <f t="shared" si="11"/>
        <v>0</v>
      </c>
      <c r="BR10" s="53">
        <f t="shared" si="11"/>
        <v>0</v>
      </c>
      <c r="BS10" s="51">
        <f t="shared" si="11"/>
        <v>0</v>
      </c>
      <c r="BT10" s="52">
        <f t="shared" si="11"/>
        <v>0</v>
      </c>
      <c r="BU10" s="53">
        <f t="shared" si="11"/>
        <v>0</v>
      </c>
      <c r="BV10" s="51">
        <f t="shared" si="11"/>
        <v>0</v>
      </c>
      <c r="BW10" s="52">
        <f t="shared" si="11"/>
        <v>0</v>
      </c>
      <c r="BX10" s="53">
        <f t="shared" si="12"/>
        <v>0</v>
      </c>
      <c r="BY10" s="51">
        <f t="shared" si="12"/>
        <v>0</v>
      </c>
      <c r="BZ10" s="52">
        <f t="shared" si="12"/>
        <v>0</v>
      </c>
      <c r="CA10" s="53">
        <f t="shared" si="12"/>
        <v>0</v>
      </c>
      <c r="CB10" s="51">
        <f t="shared" si="12"/>
        <v>0</v>
      </c>
      <c r="CC10" s="52">
        <f t="shared" si="12"/>
        <v>0</v>
      </c>
      <c r="CD10" s="53">
        <f t="shared" si="12"/>
        <v>0</v>
      </c>
      <c r="CE10" s="51">
        <f t="shared" si="12"/>
        <v>0</v>
      </c>
      <c r="CF10" s="52">
        <f t="shared" si="12"/>
        <v>0</v>
      </c>
      <c r="CG10" s="53">
        <f t="shared" si="12"/>
        <v>0</v>
      </c>
      <c r="CH10" s="51">
        <f t="shared" si="12"/>
        <v>0</v>
      </c>
      <c r="CI10" s="52">
        <f t="shared" si="12"/>
        <v>0</v>
      </c>
      <c r="CJ10" s="40"/>
      <c r="CK10" s="54">
        <f t="shared" si="13"/>
        <v>0</v>
      </c>
      <c r="CL10" s="54">
        <f t="shared" si="14"/>
        <v>129000</v>
      </c>
      <c r="CM10" s="54">
        <f t="shared" si="15"/>
        <v>0</v>
      </c>
      <c r="CN10" s="54">
        <f t="shared" si="16"/>
        <v>0</v>
      </c>
      <c r="CO10" s="54">
        <f t="shared" si="17"/>
        <v>0</v>
      </c>
      <c r="CP10" s="54">
        <f t="shared" si="18"/>
        <v>0</v>
      </c>
      <c r="CQ10" s="54">
        <f t="shared" si="19"/>
        <v>0</v>
      </c>
      <c r="CR10" s="54">
        <f t="shared" si="20"/>
        <v>0</v>
      </c>
      <c r="CS10" s="55">
        <f t="shared" si="26"/>
        <v>0</v>
      </c>
      <c r="CT10" s="55">
        <f t="shared" si="21"/>
        <v>0</v>
      </c>
      <c r="CU10" s="55">
        <f t="shared" si="21"/>
        <v>0</v>
      </c>
      <c r="CV10" s="55">
        <f t="shared" si="21"/>
        <v>0</v>
      </c>
      <c r="CW10" s="55">
        <f t="shared" si="21"/>
        <v>0</v>
      </c>
      <c r="CX10" s="55">
        <f t="shared" si="21"/>
        <v>0</v>
      </c>
      <c r="CY10" s="55">
        <f t="shared" si="21"/>
        <v>0</v>
      </c>
      <c r="CZ10" s="55">
        <f t="shared" si="21"/>
        <v>0</v>
      </c>
      <c r="DA10" s="55">
        <f t="shared" si="21"/>
        <v>0</v>
      </c>
      <c r="DB10" s="55">
        <f t="shared" si="21"/>
        <v>0</v>
      </c>
      <c r="DC10" s="55">
        <f t="shared" si="21"/>
        <v>0</v>
      </c>
      <c r="DD10" s="55">
        <f t="shared" si="21"/>
        <v>0</v>
      </c>
      <c r="DE10" s="55">
        <f t="shared" si="21"/>
        <v>0</v>
      </c>
      <c r="DF10" s="55">
        <f t="shared" si="21"/>
        <v>0</v>
      </c>
      <c r="DG10" s="55">
        <f t="shared" si="21"/>
        <v>0</v>
      </c>
      <c r="DH10" s="55">
        <f t="shared" si="21"/>
        <v>0</v>
      </c>
      <c r="DI10" s="40"/>
      <c r="DJ10" s="54">
        <f t="shared" si="22"/>
        <v>0</v>
      </c>
      <c r="DK10" s="56">
        <f t="shared" si="22"/>
        <v>0</v>
      </c>
      <c r="DL10" s="57">
        <f t="shared" si="22"/>
        <v>0</v>
      </c>
      <c r="DM10" s="57">
        <f t="shared" si="22"/>
        <v>0</v>
      </c>
      <c r="DN10" s="57">
        <f t="shared" si="22"/>
        <v>0</v>
      </c>
      <c r="DO10" s="58">
        <f t="shared" si="22"/>
        <v>0</v>
      </c>
    </row>
    <row r="11" spans="1:119" s="100" customFormat="1" ht="14.45">
      <c r="A11" s="100">
        <f t="shared" si="23"/>
        <v>5</v>
      </c>
      <c r="B11" s="100" t="s">
        <v>165</v>
      </c>
      <c r="E11" s="101" t="s">
        <v>171</v>
      </c>
      <c r="F11" s="102" t="str">
        <f t="shared" si="24"/>
        <v>4800</v>
      </c>
      <c r="G11" s="100" t="s">
        <v>167</v>
      </c>
      <c r="H11" s="102" t="str">
        <f t="shared" si="7"/>
        <v>M9000</v>
      </c>
      <c r="I11" s="100" t="s">
        <v>172</v>
      </c>
      <c r="K11" s="103" t="s">
        <v>173</v>
      </c>
      <c r="L11" s="104">
        <v>46266</v>
      </c>
      <c r="M11" s="105">
        <v>120000</v>
      </c>
      <c r="N11" s="106">
        <v>120</v>
      </c>
      <c r="O11" s="107">
        <f t="shared" si="25"/>
        <v>49888</v>
      </c>
      <c r="P11" s="108">
        <f t="shared" si="8"/>
        <v>0</v>
      </c>
      <c r="Q11" s="108">
        <f t="shared" si="8"/>
        <v>0</v>
      </c>
      <c r="R11" s="109">
        <f t="shared" si="8"/>
        <v>0</v>
      </c>
      <c r="S11" s="110">
        <f t="shared" si="8"/>
        <v>0</v>
      </c>
      <c r="T11" s="108">
        <f t="shared" si="8"/>
        <v>0</v>
      </c>
      <c r="U11" s="109">
        <f t="shared" si="8"/>
        <v>0</v>
      </c>
      <c r="V11" s="110">
        <f t="shared" si="8"/>
        <v>0</v>
      </c>
      <c r="W11" s="108">
        <f t="shared" si="8"/>
        <v>0</v>
      </c>
      <c r="X11" s="109">
        <f t="shared" si="8"/>
        <v>0</v>
      </c>
      <c r="Y11" s="110">
        <f t="shared" si="8"/>
        <v>0</v>
      </c>
      <c r="Z11" s="108">
        <f t="shared" si="8"/>
        <v>0</v>
      </c>
      <c r="AA11" s="109">
        <f t="shared" si="8"/>
        <v>0</v>
      </c>
      <c r="AB11" s="110">
        <f t="shared" si="8"/>
        <v>0</v>
      </c>
      <c r="AC11" s="108">
        <f t="shared" si="8"/>
        <v>0</v>
      </c>
      <c r="AD11" s="109">
        <f t="shared" si="8"/>
        <v>0</v>
      </c>
      <c r="AE11" s="110">
        <f t="shared" si="8"/>
        <v>0</v>
      </c>
      <c r="AF11" s="108">
        <f t="shared" si="9"/>
        <v>0</v>
      </c>
      <c r="AG11" s="109">
        <f t="shared" si="9"/>
        <v>0</v>
      </c>
      <c r="AH11" s="110">
        <f t="shared" si="9"/>
        <v>0</v>
      </c>
      <c r="AI11" s="108">
        <f t="shared" si="9"/>
        <v>0</v>
      </c>
      <c r="AJ11" s="109">
        <f t="shared" si="9"/>
        <v>120000</v>
      </c>
      <c r="AK11" s="110">
        <f t="shared" si="9"/>
        <v>0</v>
      </c>
      <c r="AL11" s="108">
        <f t="shared" si="9"/>
        <v>0</v>
      </c>
      <c r="AM11" s="109">
        <f t="shared" si="9"/>
        <v>0</v>
      </c>
      <c r="AN11" s="110">
        <f t="shared" si="9"/>
        <v>0</v>
      </c>
      <c r="AO11" s="108">
        <f t="shared" si="9"/>
        <v>0</v>
      </c>
      <c r="AP11" s="109">
        <f t="shared" si="9"/>
        <v>0</v>
      </c>
      <c r="AQ11" s="110">
        <f t="shared" si="9"/>
        <v>0</v>
      </c>
      <c r="AR11" s="108">
        <f t="shared" si="9"/>
        <v>0</v>
      </c>
      <c r="AS11" s="109">
        <f t="shared" si="9"/>
        <v>0</v>
      </c>
      <c r="AT11" s="110">
        <f t="shared" si="9"/>
        <v>0</v>
      </c>
      <c r="AU11" s="108">
        <f t="shared" si="9"/>
        <v>0</v>
      </c>
      <c r="AV11" s="109">
        <f t="shared" si="10"/>
        <v>0</v>
      </c>
      <c r="AW11" s="110">
        <f t="shared" si="10"/>
        <v>0</v>
      </c>
      <c r="AX11" s="108">
        <f t="shared" si="10"/>
        <v>0</v>
      </c>
      <c r="AY11" s="109">
        <f t="shared" si="10"/>
        <v>0</v>
      </c>
      <c r="AZ11" s="110">
        <f t="shared" si="10"/>
        <v>0</v>
      </c>
      <c r="BA11" s="108">
        <f t="shared" si="10"/>
        <v>0</v>
      </c>
      <c r="BB11" s="109">
        <f t="shared" si="10"/>
        <v>0</v>
      </c>
      <c r="BC11" s="110">
        <f t="shared" si="10"/>
        <v>0</v>
      </c>
      <c r="BD11" s="108">
        <f t="shared" si="10"/>
        <v>0</v>
      </c>
      <c r="BE11" s="109">
        <f t="shared" si="10"/>
        <v>0</v>
      </c>
      <c r="BF11" s="110">
        <f t="shared" si="10"/>
        <v>0</v>
      </c>
      <c r="BG11" s="108">
        <f t="shared" si="10"/>
        <v>0</v>
      </c>
      <c r="BH11" s="109">
        <f t="shared" si="10"/>
        <v>0</v>
      </c>
      <c r="BI11" s="110">
        <f t="shared" si="10"/>
        <v>0</v>
      </c>
      <c r="BJ11" s="108">
        <f t="shared" si="10"/>
        <v>0</v>
      </c>
      <c r="BK11" s="109">
        <f t="shared" si="10"/>
        <v>0</v>
      </c>
      <c r="BL11" s="110">
        <f t="shared" si="11"/>
        <v>0</v>
      </c>
      <c r="BM11" s="108">
        <f t="shared" si="11"/>
        <v>0</v>
      </c>
      <c r="BN11" s="109">
        <f t="shared" si="11"/>
        <v>0</v>
      </c>
      <c r="BO11" s="110">
        <f t="shared" si="11"/>
        <v>0</v>
      </c>
      <c r="BP11" s="108">
        <f t="shared" si="11"/>
        <v>0</v>
      </c>
      <c r="BQ11" s="109">
        <f t="shared" si="11"/>
        <v>0</v>
      </c>
      <c r="BR11" s="110">
        <f t="shared" si="11"/>
        <v>0</v>
      </c>
      <c r="BS11" s="108">
        <f t="shared" si="11"/>
        <v>0</v>
      </c>
      <c r="BT11" s="109">
        <f t="shared" si="11"/>
        <v>0</v>
      </c>
      <c r="BU11" s="110">
        <f t="shared" si="11"/>
        <v>0</v>
      </c>
      <c r="BV11" s="108">
        <f t="shared" si="11"/>
        <v>0</v>
      </c>
      <c r="BW11" s="109">
        <f t="shared" si="11"/>
        <v>0</v>
      </c>
      <c r="BX11" s="110">
        <f t="shared" si="12"/>
        <v>0</v>
      </c>
      <c r="BY11" s="108">
        <f t="shared" si="12"/>
        <v>0</v>
      </c>
      <c r="BZ11" s="109">
        <f t="shared" si="12"/>
        <v>0</v>
      </c>
      <c r="CA11" s="110">
        <f t="shared" si="12"/>
        <v>0</v>
      </c>
      <c r="CB11" s="108">
        <f t="shared" si="12"/>
        <v>0</v>
      </c>
      <c r="CC11" s="109">
        <f t="shared" si="12"/>
        <v>0</v>
      </c>
      <c r="CD11" s="110">
        <f t="shared" si="12"/>
        <v>0</v>
      </c>
      <c r="CE11" s="108">
        <f t="shared" si="12"/>
        <v>0</v>
      </c>
      <c r="CF11" s="109">
        <f t="shared" si="12"/>
        <v>0</v>
      </c>
      <c r="CG11" s="110">
        <f t="shared" si="12"/>
        <v>0</v>
      </c>
      <c r="CH11" s="108">
        <f t="shared" si="12"/>
        <v>0</v>
      </c>
      <c r="CI11" s="109">
        <f t="shared" si="12"/>
        <v>0</v>
      </c>
      <c r="CJ11" s="111"/>
      <c r="CK11" s="112">
        <f t="shared" si="13"/>
        <v>0</v>
      </c>
      <c r="CL11" s="112">
        <f t="shared" si="14"/>
        <v>0</v>
      </c>
      <c r="CM11" s="112">
        <f t="shared" si="15"/>
        <v>0</v>
      </c>
      <c r="CN11" s="112">
        <f t="shared" si="16"/>
        <v>0</v>
      </c>
      <c r="CO11" s="112">
        <f t="shared" si="17"/>
        <v>0</v>
      </c>
      <c r="CP11" s="112">
        <f t="shared" si="18"/>
        <v>0</v>
      </c>
      <c r="CQ11" s="112">
        <f t="shared" si="19"/>
        <v>120000</v>
      </c>
      <c r="CR11" s="112">
        <f t="shared" si="20"/>
        <v>0</v>
      </c>
      <c r="CS11" s="114">
        <f t="shared" si="26"/>
        <v>0</v>
      </c>
      <c r="CT11" s="114">
        <f t="shared" si="21"/>
        <v>0</v>
      </c>
      <c r="CU11" s="114">
        <f t="shared" si="21"/>
        <v>0</v>
      </c>
      <c r="CV11" s="114">
        <f t="shared" si="21"/>
        <v>0</v>
      </c>
      <c r="CW11" s="114">
        <f t="shared" si="21"/>
        <v>0</v>
      </c>
      <c r="CX11" s="114">
        <f t="shared" si="21"/>
        <v>0</v>
      </c>
      <c r="CY11" s="114">
        <f t="shared" si="21"/>
        <v>0</v>
      </c>
      <c r="CZ11" s="114">
        <f t="shared" si="21"/>
        <v>0</v>
      </c>
      <c r="DA11" s="114">
        <f t="shared" si="21"/>
        <v>0</v>
      </c>
      <c r="DB11" s="114">
        <f t="shared" si="21"/>
        <v>0</v>
      </c>
      <c r="DC11" s="114">
        <f t="shared" si="21"/>
        <v>0</v>
      </c>
      <c r="DD11" s="114">
        <f t="shared" si="21"/>
        <v>0</v>
      </c>
      <c r="DE11" s="114">
        <f t="shared" si="21"/>
        <v>0</v>
      </c>
      <c r="DF11" s="114">
        <f t="shared" si="21"/>
        <v>0</v>
      </c>
      <c r="DG11" s="114">
        <f t="shared" si="21"/>
        <v>0</v>
      </c>
      <c r="DH11" s="114">
        <f t="shared" si="21"/>
        <v>0</v>
      </c>
      <c r="DI11" s="111"/>
      <c r="DJ11" s="112">
        <f t="shared" si="22"/>
        <v>0</v>
      </c>
      <c r="DK11" s="115">
        <f t="shared" si="22"/>
        <v>120000</v>
      </c>
      <c r="DL11" s="116">
        <f t="shared" si="22"/>
        <v>0</v>
      </c>
      <c r="DM11" s="116">
        <f t="shared" si="22"/>
        <v>0</v>
      </c>
      <c r="DN11" s="116">
        <f t="shared" si="22"/>
        <v>0</v>
      </c>
      <c r="DO11" s="117">
        <f t="shared" si="22"/>
        <v>0</v>
      </c>
    </row>
    <row r="12" spans="1:119" s="100" customFormat="1" ht="14.45">
      <c r="A12" s="100">
        <f t="shared" si="23"/>
        <v>6</v>
      </c>
      <c r="B12" s="100" t="s">
        <v>165</v>
      </c>
      <c r="C12" s="100">
        <v>40000</v>
      </c>
      <c r="D12" s="100" t="s">
        <v>166</v>
      </c>
      <c r="E12" s="101" t="s">
        <v>165</v>
      </c>
      <c r="F12" s="102" t="str">
        <f t="shared" si="24"/>
        <v>4800</v>
      </c>
      <c r="G12" s="100" t="s">
        <v>167</v>
      </c>
      <c r="H12" s="102" t="str">
        <f t="shared" si="7"/>
        <v>M9000</v>
      </c>
      <c r="I12" s="100" t="s">
        <v>172</v>
      </c>
      <c r="K12" s="103" t="s">
        <v>174</v>
      </c>
      <c r="L12" s="104">
        <v>46174</v>
      </c>
      <c r="M12" s="105">
        <v>40000</v>
      </c>
      <c r="N12" s="106">
        <v>120</v>
      </c>
      <c r="O12" s="107">
        <f t="shared" si="25"/>
        <v>49796</v>
      </c>
      <c r="P12" s="108">
        <f t="shared" si="8"/>
        <v>0</v>
      </c>
      <c r="Q12" s="108">
        <f t="shared" si="8"/>
        <v>0</v>
      </c>
      <c r="R12" s="109">
        <f t="shared" si="8"/>
        <v>0</v>
      </c>
      <c r="S12" s="110">
        <f t="shared" si="8"/>
        <v>0</v>
      </c>
      <c r="T12" s="108">
        <f t="shared" si="8"/>
        <v>0</v>
      </c>
      <c r="U12" s="109">
        <f t="shared" si="8"/>
        <v>0</v>
      </c>
      <c r="V12" s="110">
        <f t="shared" si="8"/>
        <v>0</v>
      </c>
      <c r="W12" s="108">
        <f t="shared" si="8"/>
        <v>0</v>
      </c>
      <c r="X12" s="109">
        <f t="shared" si="8"/>
        <v>0</v>
      </c>
      <c r="Y12" s="110">
        <f t="shared" si="8"/>
        <v>0</v>
      </c>
      <c r="Z12" s="108">
        <f t="shared" si="8"/>
        <v>0</v>
      </c>
      <c r="AA12" s="109">
        <f t="shared" si="8"/>
        <v>0</v>
      </c>
      <c r="AB12" s="110">
        <f t="shared" si="8"/>
        <v>0</v>
      </c>
      <c r="AC12" s="108">
        <f t="shared" si="8"/>
        <v>0</v>
      </c>
      <c r="AD12" s="109">
        <f t="shared" si="8"/>
        <v>0</v>
      </c>
      <c r="AE12" s="110">
        <f t="shared" si="8"/>
        <v>0</v>
      </c>
      <c r="AF12" s="108">
        <f t="shared" si="9"/>
        <v>0</v>
      </c>
      <c r="AG12" s="109">
        <f t="shared" si="9"/>
        <v>40000</v>
      </c>
      <c r="AH12" s="110">
        <f t="shared" si="9"/>
        <v>0</v>
      </c>
      <c r="AI12" s="108">
        <f t="shared" si="9"/>
        <v>0</v>
      </c>
      <c r="AJ12" s="109">
        <f t="shared" si="9"/>
        <v>0</v>
      </c>
      <c r="AK12" s="110">
        <f t="shared" si="9"/>
        <v>0</v>
      </c>
      <c r="AL12" s="108">
        <f t="shared" si="9"/>
        <v>0</v>
      </c>
      <c r="AM12" s="109">
        <f t="shared" si="9"/>
        <v>0</v>
      </c>
      <c r="AN12" s="110">
        <f t="shared" si="9"/>
        <v>0</v>
      </c>
      <c r="AO12" s="108">
        <f t="shared" si="9"/>
        <v>0</v>
      </c>
      <c r="AP12" s="109">
        <f t="shared" si="9"/>
        <v>0</v>
      </c>
      <c r="AQ12" s="110">
        <f t="shared" si="9"/>
        <v>0</v>
      </c>
      <c r="AR12" s="108">
        <f t="shared" si="9"/>
        <v>0</v>
      </c>
      <c r="AS12" s="109">
        <f t="shared" si="9"/>
        <v>0</v>
      </c>
      <c r="AT12" s="110">
        <f t="shared" si="9"/>
        <v>0</v>
      </c>
      <c r="AU12" s="108">
        <f t="shared" si="9"/>
        <v>0</v>
      </c>
      <c r="AV12" s="109">
        <f t="shared" si="10"/>
        <v>0</v>
      </c>
      <c r="AW12" s="110">
        <f t="shared" si="10"/>
        <v>0</v>
      </c>
      <c r="AX12" s="108">
        <f t="shared" si="10"/>
        <v>0</v>
      </c>
      <c r="AY12" s="109">
        <f t="shared" si="10"/>
        <v>0</v>
      </c>
      <c r="AZ12" s="110">
        <f t="shared" si="10"/>
        <v>0</v>
      </c>
      <c r="BA12" s="108">
        <f t="shared" si="10"/>
        <v>0</v>
      </c>
      <c r="BB12" s="109">
        <f t="shared" si="10"/>
        <v>0</v>
      </c>
      <c r="BC12" s="110">
        <f t="shared" si="10"/>
        <v>0</v>
      </c>
      <c r="BD12" s="108">
        <f t="shared" si="10"/>
        <v>0</v>
      </c>
      <c r="BE12" s="109">
        <f t="shared" si="10"/>
        <v>0</v>
      </c>
      <c r="BF12" s="110">
        <f t="shared" si="10"/>
        <v>0</v>
      </c>
      <c r="BG12" s="108">
        <f t="shared" si="10"/>
        <v>0</v>
      </c>
      <c r="BH12" s="109">
        <f t="shared" si="10"/>
        <v>0</v>
      </c>
      <c r="BI12" s="110">
        <f t="shared" si="10"/>
        <v>0</v>
      </c>
      <c r="BJ12" s="108">
        <f t="shared" si="10"/>
        <v>0</v>
      </c>
      <c r="BK12" s="109">
        <f t="shared" si="10"/>
        <v>0</v>
      </c>
      <c r="BL12" s="110">
        <f t="shared" si="11"/>
        <v>0</v>
      </c>
      <c r="BM12" s="108">
        <f t="shared" si="11"/>
        <v>0</v>
      </c>
      <c r="BN12" s="109">
        <f t="shared" si="11"/>
        <v>0</v>
      </c>
      <c r="BO12" s="110">
        <f t="shared" si="11"/>
        <v>0</v>
      </c>
      <c r="BP12" s="108">
        <f t="shared" si="11"/>
        <v>0</v>
      </c>
      <c r="BQ12" s="109">
        <f t="shared" si="11"/>
        <v>0</v>
      </c>
      <c r="BR12" s="110">
        <f t="shared" si="11"/>
        <v>0</v>
      </c>
      <c r="BS12" s="108">
        <f t="shared" si="11"/>
        <v>0</v>
      </c>
      <c r="BT12" s="109">
        <f t="shared" si="11"/>
        <v>0</v>
      </c>
      <c r="BU12" s="110">
        <f t="shared" si="11"/>
        <v>0</v>
      </c>
      <c r="BV12" s="108">
        <f t="shared" si="11"/>
        <v>0</v>
      </c>
      <c r="BW12" s="109">
        <f t="shared" si="11"/>
        <v>0</v>
      </c>
      <c r="BX12" s="110">
        <f t="shared" si="12"/>
        <v>0</v>
      </c>
      <c r="BY12" s="108">
        <f t="shared" si="12"/>
        <v>0</v>
      </c>
      <c r="BZ12" s="109">
        <f t="shared" si="12"/>
        <v>0</v>
      </c>
      <c r="CA12" s="110">
        <f t="shared" si="12"/>
        <v>0</v>
      </c>
      <c r="CB12" s="108">
        <f t="shared" si="12"/>
        <v>0</v>
      </c>
      <c r="CC12" s="109">
        <f t="shared" si="12"/>
        <v>0</v>
      </c>
      <c r="CD12" s="110">
        <f t="shared" si="12"/>
        <v>0</v>
      </c>
      <c r="CE12" s="108">
        <f t="shared" si="12"/>
        <v>0</v>
      </c>
      <c r="CF12" s="109">
        <f t="shared" si="12"/>
        <v>0</v>
      </c>
      <c r="CG12" s="110">
        <f t="shared" si="12"/>
        <v>0</v>
      </c>
      <c r="CH12" s="108">
        <f t="shared" si="12"/>
        <v>0</v>
      </c>
      <c r="CI12" s="109">
        <f t="shared" si="12"/>
        <v>0</v>
      </c>
      <c r="CJ12" s="111"/>
      <c r="CK12" s="112">
        <f t="shared" si="13"/>
        <v>0</v>
      </c>
      <c r="CL12" s="112">
        <f t="shared" si="14"/>
        <v>0</v>
      </c>
      <c r="CM12" s="112">
        <f t="shared" si="15"/>
        <v>0</v>
      </c>
      <c r="CN12" s="112">
        <f t="shared" si="16"/>
        <v>0</v>
      </c>
      <c r="CO12" s="112">
        <f t="shared" si="17"/>
        <v>0</v>
      </c>
      <c r="CP12" s="112">
        <f t="shared" si="18"/>
        <v>40000</v>
      </c>
      <c r="CQ12" s="112">
        <f t="shared" si="19"/>
        <v>0</v>
      </c>
      <c r="CR12" s="112">
        <f t="shared" si="20"/>
        <v>0</v>
      </c>
      <c r="CS12" s="114">
        <f t="shared" si="26"/>
        <v>0</v>
      </c>
      <c r="CT12" s="114">
        <f t="shared" si="21"/>
        <v>0</v>
      </c>
      <c r="CU12" s="114">
        <f t="shared" si="21"/>
        <v>0</v>
      </c>
      <c r="CV12" s="114">
        <f t="shared" si="21"/>
        <v>0</v>
      </c>
      <c r="CW12" s="114">
        <f t="shared" si="21"/>
        <v>0</v>
      </c>
      <c r="CX12" s="114">
        <f t="shared" si="21"/>
        <v>0</v>
      </c>
      <c r="CY12" s="114">
        <f t="shared" si="21"/>
        <v>0</v>
      </c>
      <c r="CZ12" s="114">
        <f t="shared" si="21"/>
        <v>0</v>
      </c>
      <c r="DA12" s="114">
        <f t="shared" si="21"/>
        <v>0</v>
      </c>
      <c r="DB12" s="114">
        <f t="shared" si="21"/>
        <v>0</v>
      </c>
      <c r="DC12" s="114">
        <f t="shared" si="21"/>
        <v>0</v>
      </c>
      <c r="DD12" s="114">
        <f t="shared" si="21"/>
        <v>0</v>
      </c>
      <c r="DE12" s="114">
        <f t="shared" si="21"/>
        <v>0</v>
      </c>
      <c r="DF12" s="114">
        <f t="shared" si="21"/>
        <v>0</v>
      </c>
      <c r="DG12" s="114">
        <f t="shared" si="21"/>
        <v>0</v>
      </c>
      <c r="DH12" s="114">
        <f t="shared" si="21"/>
        <v>0</v>
      </c>
      <c r="DI12" s="111"/>
      <c r="DJ12" s="112">
        <f t="shared" si="22"/>
        <v>0</v>
      </c>
      <c r="DK12" s="115">
        <f t="shared" si="22"/>
        <v>40000</v>
      </c>
      <c r="DL12" s="116">
        <f t="shared" si="22"/>
        <v>0</v>
      </c>
      <c r="DM12" s="116">
        <f t="shared" si="22"/>
        <v>0</v>
      </c>
      <c r="DN12" s="116">
        <f t="shared" si="22"/>
        <v>0</v>
      </c>
      <c r="DO12" s="117">
        <f t="shared" si="22"/>
        <v>0</v>
      </c>
    </row>
    <row r="13" spans="1:119" s="100" customFormat="1" ht="14.45">
      <c r="A13" s="100">
        <f t="shared" si="23"/>
        <v>7</v>
      </c>
      <c r="B13" s="100" t="s">
        <v>165</v>
      </c>
      <c r="C13" s="100">
        <v>40000</v>
      </c>
      <c r="D13" s="100" t="s">
        <v>166</v>
      </c>
      <c r="E13" s="101" t="s">
        <v>165</v>
      </c>
      <c r="F13" s="102" t="str">
        <f t="shared" si="24"/>
        <v>4800</v>
      </c>
      <c r="G13" s="100" t="s">
        <v>167</v>
      </c>
      <c r="H13" s="102" t="str">
        <f t="shared" si="7"/>
        <v>M9000</v>
      </c>
      <c r="I13" s="100" t="s">
        <v>172</v>
      </c>
      <c r="K13" s="103" t="s">
        <v>175</v>
      </c>
      <c r="L13" s="104">
        <v>46266</v>
      </c>
      <c r="M13" s="105">
        <v>60000</v>
      </c>
      <c r="N13" s="106">
        <v>120</v>
      </c>
      <c r="O13" s="107">
        <f t="shared" si="25"/>
        <v>49888</v>
      </c>
      <c r="P13" s="108">
        <f t="shared" si="8"/>
        <v>0</v>
      </c>
      <c r="Q13" s="108">
        <f t="shared" si="8"/>
        <v>0</v>
      </c>
      <c r="R13" s="109">
        <f t="shared" si="8"/>
        <v>0</v>
      </c>
      <c r="S13" s="110">
        <f t="shared" si="8"/>
        <v>0</v>
      </c>
      <c r="T13" s="108">
        <f t="shared" si="8"/>
        <v>0</v>
      </c>
      <c r="U13" s="109">
        <f t="shared" si="8"/>
        <v>0</v>
      </c>
      <c r="V13" s="110">
        <f t="shared" si="8"/>
        <v>0</v>
      </c>
      <c r="W13" s="108">
        <f t="shared" si="8"/>
        <v>0</v>
      </c>
      <c r="X13" s="109">
        <f t="shared" si="8"/>
        <v>0</v>
      </c>
      <c r="Y13" s="110">
        <f t="shared" si="8"/>
        <v>0</v>
      </c>
      <c r="Z13" s="108">
        <f t="shared" si="8"/>
        <v>0</v>
      </c>
      <c r="AA13" s="109">
        <f t="shared" si="8"/>
        <v>0</v>
      </c>
      <c r="AB13" s="110">
        <f t="shared" si="8"/>
        <v>0</v>
      </c>
      <c r="AC13" s="108">
        <f t="shared" si="8"/>
        <v>0</v>
      </c>
      <c r="AD13" s="109">
        <f t="shared" si="8"/>
        <v>0</v>
      </c>
      <c r="AE13" s="110">
        <f t="shared" si="8"/>
        <v>0</v>
      </c>
      <c r="AF13" s="108">
        <f t="shared" si="9"/>
        <v>0</v>
      </c>
      <c r="AG13" s="109">
        <f t="shared" si="9"/>
        <v>0</v>
      </c>
      <c r="AH13" s="110">
        <f t="shared" si="9"/>
        <v>0</v>
      </c>
      <c r="AI13" s="108">
        <f t="shared" si="9"/>
        <v>0</v>
      </c>
      <c r="AJ13" s="109">
        <f t="shared" si="9"/>
        <v>60000</v>
      </c>
      <c r="AK13" s="110">
        <f t="shared" si="9"/>
        <v>0</v>
      </c>
      <c r="AL13" s="108">
        <f t="shared" si="9"/>
        <v>0</v>
      </c>
      <c r="AM13" s="109">
        <f t="shared" si="9"/>
        <v>0</v>
      </c>
      <c r="AN13" s="110">
        <f t="shared" si="9"/>
        <v>0</v>
      </c>
      <c r="AO13" s="108">
        <f t="shared" si="9"/>
        <v>0</v>
      </c>
      <c r="AP13" s="109">
        <f t="shared" si="9"/>
        <v>0</v>
      </c>
      <c r="AQ13" s="110">
        <f t="shared" si="9"/>
        <v>0</v>
      </c>
      <c r="AR13" s="108">
        <f t="shared" si="9"/>
        <v>0</v>
      </c>
      <c r="AS13" s="109">
        <f t="shared" si="9"/>
        <v>0</v>
      </c>
      <c r="AT13" s="110">
        <f t="shared" si="9"/>
        <v>0</v>
      </c>
      <c r="AU13" s="108">
        <f t="shared" si="9"/>
        <v>0</v>
      </c>
      <c r="AV13" s="109">
        <f t="shared" si="10"/>
        <v>0</v>
      </c>
      <c r="AW13" s="110">
        <f t="shared" si="10"/>
        <v>0</v>
      </c>
      <c r="AX13" s="108">
        <f t="shared" si="10"/>
        <v>0</v>
      </c>
      <c r="AY13" s="109">
        <f t="shared" si="10"/>
        <v>0</v>
      </c>
      <c r="AZ13" s="110">
        <f t="shared" si="10"/>
        <v>0</v>
      </c>
      <c r="BA13" s="108">
        <f t="shared" si="10"/>
        <v>0</v>
      </c>
      <c r="BB13" s="109">
        <f t="shared" si="10"/>
        <v>0</v>
      </c>
      <c r="BC13" s="110">
        <f t="shared" si="10"/>
        <v>0</v>
      </c>
      <c r="BD13" s="108">
        <f t="shared" si="10"/>
        <v>0</v>
      </c>
      <c r="BE13" s="109">
        <f t="shared" si="10"/>
        <v>0</v>
      </c>
      <c r="BF13" s="110">
        <f t="shared" si="10"/>
        <v>0</v>
      </c>
      <c r="BG13" s="108">
        <f t="shared" si="10"/>
        <v>0</v>
      </c>
      <c r="BH13" s="109">
        <f t="shared" si="10"/>
        <v>0</v>
      </c>
      <c r="BI13" s="110">
        <f t="shared" si="10"/>
        <v>0</v>
      </c>
      <c r="BJ13" s="108">
        <f t="shared" si="10"/>
        <v>0</v>
      </c>
      <c r="BK13" s="109">
        <f t="shared" si="10"/>
        <v>0</v>
      </c>
      <c r="BL13" s="110">
        <f t="shared" si="11"/>
        <v>0</v>
      </c>
      <c r="BM13" s="108">
        <f t="shared" si="11"/>
        <v>0</v>
      </c>
      <c r="BN13" s="109">
        <f t="shared" si="11"/>
        <v>0</v>
      </c>
      <c r="BO13" s="110">
        <f t="shared" si="11"/>
        <v>0</v>
      </c>
      <c r="BP13" s="108">
        <f t="shared" si="11"/>
        <v>0</v>
      </c>
      <c r="BQ13" s="109">
        <f t="shared" si="11"/>
        <v>0</v>
      </c>
      <c r="BR13" s="110">
        <f t="shared" si="11"/>
        <v>0</v>
      </c>
      <c r="BS13" s="108">
        <f t="shared" si="11"/>
        <v>0</v>
      </c>
      <c r="BT13" s="109">
        <f t="shared" si="11"/>
        <v>0</v>
      </c>
      <c r="BU13" s="110">
        <f t="shared" si="11"/>
        <v>0</v>
      </c>
      <c r="BV13" s="108">
        <f t="shared" si="11"/>
        <v>0</v>
      </c>
      <c r="BW13" s="109">
        <f t="shared" si="11"/>
        <v>0</v>
      </c>
      <c r="BX13" s="110">
        <f t="shared" si="12"/>
        <v>0</v>
      </c>
      <c r="BY13" s="108">
        <f t="shared" si="12"/>
        <v>0</v>
      </c>
      <c r="BZ13" s="109">
        <f t="shared" si="12"/>
        <v>0</v>
      </c>
      <c r="CA13" s="110">
        <f t="shared" si="12"/>
        <v>0</v>
      </c>
      <c r="CB13" s="108">
        <f t="shared" si="12"/>
        <v>0</v>
      </c>
      <c r="CC13" s="109">
        <f t="shared" si="12"/>
        <v>0</v>
      </c>
      <c r="CD13" s="110">
        <f t="shared" si="12"/>
        <v>0</v>
      </c>
      <c r="CE13" s="108">
        <f t="shared" si="12"/>
        <v>0</v>
      </c>
      <c r="CF13" s="109">
        <f t="shared" si="12"/>
        <v>0</v>
      </c>
      <c r="CG13" s="110">
        <f t="shared" si="12"/>
        <v>0</v>
      </c>
      <c r="CH13" s="108">
        <f t="shared" si="12"/>
        <v>0</v>
      </c>
      <c r="CI13" s="109">
        <f t="shared" si="12"/>
        <v>0</v>
      </c>
      <c r="CJ13" s="111"/>
      <c r="CK13" s="112">
        <f t="shared" si="13"/>
        <v>0</v>
      </c>
      <c r="CL13" s="112">
        <f t="shared" si="14"/>
        <v>0</v>
      </c>
      <c r="CM13" s="112">
        <f t="shared" si="15"/>
        <v>0</v>
      </c>
      <c r="CN13" s="112">
        <f t="shared" si="16"/>
        <v>0</v>
      </c>
      <c r="CO13" s="112">
        <f t="shared" si="17"/>
        <v>0</v>
      </c>
      <c r="CP13" s="112">
        <f t="shared" si="18"/>
        <v>0</v>
      </c>
      <c r="CQ13" s="112">
        <f t="shared" si="19"/>
        <v>60000</v>
      </c>
      <c r="CR13" s="112">
        <f t="shared" si="20"/>
        <v>0</v>
      </c>
      <c r="CS13" s="114">
        <f t="shared" si="26"/>
        <v>0</v>
      </c>
      <c r="CT13" s="114">
        <f t="shared" si="21"/>
        <v>0</v>
      </c>
      <c r="CU13" s="114">
        <f t="shared" si="21"/>
        <v>0</v>
      </c>
      <c r="CV13" s="114">
        <f t="shared" si="21"/>
        <v>0</v>
      </c>
      <c r="CW13" s="114">
        <f t="shared" si="21"/>
        <v>0</v>
      </c>
      <c r="CX13" s="114">
        <f t="shared" si="21"/>
        <v>0</v>
      </c>
      <c r="CY13" s="114">
        <f t="shared" si="21"/>
        <v>0</v>
      </c>
      <c r="CZ13" s="114">
        <f t="shared" si="21"/>
        <v>0</v>
      </c>
      <c r="DA13" s="114">
        <f t="shared" si="21"/>
        <v>0</v>
      </c>
      <c r="DB13" s="114">
        <f t="shared" si="21"/>
        <v>0</v>
      </c>
      <c r="DC13" s="114">
        <f t="shared" si="21"/>
        <v>0</v>
      </c>
      <c r="DD13" s="114">
        <f t="shared" si="21"/>
        <v>0</v>
      </c>
      <c r="DE13" s="114">
        <f t="shared" si="21"/>
        <v>0</v>
      </c>
      <c r="DF13" s="114">
        <f t="shared" si="21"/>
        <v>0</v>
      </c>
      <c r="DG13" s="114">
        <f t="shared" si="21"/>
        <v>0</v>
      </c>
      <c r="DH13" s="114">
        <f t="shared" si="21"/>
        <v>0</v>
      </c>
      <c r="DI13" s="111"/>
      <c r="DJ13" s="112">
        <f t="shared" si="22"/>
        <v>0</v>
      </c>
      <c r="DK13" s="115">
        <f t="shared" si="22"/>
        <v>60000</v>
      </c>
      <c r="DL13" s="116">
        <f t="shared" si="22"/>
        <v>0</v>
      </c>
      <c r="DM13" s="116">
        <f t="shared" si="22"/>
        <v>0</v>
      </c>
      <c r="DN13" s="116">
        <f t="shared" si="22"/>
        <v>0</v>
      </c>
      <c r="DO13" s="117">
        <f t="shared" si="22"/>
        <v>0</v>
      </c>
    </row>
    <row r="14" spans="1:119" s="100" customFormat="1" ht="14.45">
      <c r="A14" s="100">
        <f t="shared" si="23"/>
        <v>8</v>
      </c>
      <c r="B14" s="100" t="s">
        <v>165</v>
      </c>
      <c r="C14" s="100">
        <v>40000</v>
      </c>
      <c r="D14" s="100" t="s">
        <v>166</v>
      </c>
      <c r="E14" s="101" t="s">
        <v>165</v>
      </c>
      <c r="F14" s="102" t="str">
        <f t="shared" si="24"/>
        <v>4800</v>
      </c>
      <c r="G14" s="100" t="s">
        <v>167</v>
      </c>
      <c r="H14" s="102" t="str">
        <f t="shared" si="7"/>
        <v>M9000</v>
      </c>
      <c r="I14" s="100" t="s">
        <v>172</v>
      </c>
      <c r="K14" s="103" t="s">
        <v>176</v>
      </c>
      <c r="L14" s="104">
        <v>46174</v>
      </c>
      <c r="M14" s="105">
        <v>40000</v>
      </c>
      <c r="N14" s="106">
        <v>120</v>
      </c>
      <c r="O14" s="107">
        <f t="shared" si="25"/>
        <v>49796</v>
      </c>
      <c r="P14" s="108">
        <f t="shared" si="8"/>
        <v>0</v>
      </c>
      <c r="Q14" s="108">
        <f t="shared" si="8"/>
        <v>0</v>
      </c>
      <c r="R14" s="109">
        <f t="shared" si="8"/>
        <v>0</v>
      </c>
      <c r="S14" s="110">
        <f t="shared" si="8"/>
        <v>0</v>
      </c>
      <c r="T14" s="108">
        <f t="shared" si="8"/>
        <v>0</v>
      </c>
      <c r="U14" s="109">
        <f t="shared" si="8"/>
        <v>0</v>
      </c>
      <c r="V14" s="110">
        <f t="shared" si="8"/>
        <v>0</v>
      </c>
      <c r="W14" s="108">
        <f t="shared" si="8"/>
        <v>0</v>
      </c>
      <c r="X14" s="109">
        <f t="shared" si="8"/>
        <v>0</v>
      </c>
      <c r="Y14" s="110">
        <f t="shared" si="8"/>
        <v>0</v>
      </c>
      <c r="Z14" s="108">
        <f t="shared" si="8"/>
        <v>0</v>
      </c>
      <c r="AA14" s="109">
        <f t="shared" si="8"/>
        <v>0</v>
      </c>
      <c r="AB14" s="110">
        <f t="shared" si="8"/>
        <v>0</v>
      </c>
      <c r="AC14" s="108">
        <f t="shared" si="8"/>
        <v>0</v>
      </c>
      <c r="AD14" s="109">
        <f t="shared" si="8"/>
        <v>0</v>
      </c>
      <c r="AE14" s="110">
        <f t="shared" si="8"/>
        <v>0</v>
      </c>
      <c r="AF14" s="108">
        <f t="shared" si="9"/>
        <v>0</v>
      </c>
      <c r="AG14" s="109">
        <f t="shared" si="9"/>
        <v>40000</v>
      </c>
      <c r="AH14" s="110">
        <f t="shared" si="9"/>
        <v>0</v>
      </c>
      <c r="AI14" s="108">
        <f t="shared" si="9"/>
        <v>0</v>
      </c>
      <c r="AJ14" s="109">
        <f t="shared" si="9"/>
        <v>0</v>
      </c>
      <c r="AK14" s="110">
        <f t="shared" si="9"/>
        <v>0</v>
      </c>
      <c r="AL14" s="108">
        <f t="shared" si="9"/>
        <v>0</v>
      </c>
      <c r="AM14" s="109">
        <f t="shared" si="9"/>
        <v>0</v>
      </c>
      <c r="AN14" s="110">
        <f t="shared" si="9"/>
        <v>0</v>
      </c>
      <c r="AO14" s="108">
        <f t="shared" si="9"/>
        <v>0</v>
      </c>
      <c r="AP14" s="109">
        <f t="shared" si="9"/>
        <v>0</v>
      </c>
      <c r="AQ14" s="110">
        <f t="shared" si="9"/>
        <v>0</v>
      </c>
      <c r="AR14" s="108">
        <f t="shared" si="9"/>
        <v>0</v>
      </c>
      <c r="AS14" s="109">
        <f t="shared" si="9"/>
        <v>0</v>
      </c>
      <c r="AT14" s="110">
        <f t="shared" si="9"/>
        <v>0</v>
      </c>
      <c r="AU14" s="108">
        <f t="shared" si="9"/>
        <v>0</v>
      </c>
      <c r="AV14" s="109">
        <f t="shared" si="10"/>
        <v>0</v>
      </c>
      <c r="AW14" s="110">
        <f t="shared" si="10"/>
        <v>0</v>
      </c>
      <c r="AX14" s="108">
        <f t="shared" si="10"/>
        <v>0</v>
      </c>
      <c r="AY14" s="109">
        <f t="shared" si="10"/>
        <v>0</v>
      </c>
      <c r="AZ14" s="110">
        <f t="shared" si="10"/>
        <v>0</v>
      </c>
      <c r="BA14" s="108">
        <f t="shared" si="10"/>
        <v>0</v>
      </c>
      <c r="BB14" s="109">
        <f t="shared" si="10"/>
        <v>0</v>
      </c>
      <c r="BC14" s="110">
        <f t="shared" si="10"/>
        <v>0</v>
      </c>
      <c r="BD14" s="108">
        <f t="shared" si="10"/>
        <v>0</v>
      </c>
      <c r="BE14" s="109">
        <f t="shared" si="10"/>
        <v>0</v>
      </c>
      <c r="BF14" s="110">
        <f t="shared" si="10"/>
        <v>0</v>
      </c>
      <c r="BG14" s="108">
        <f t="shared" si="10"/>
        <v>0</v>
      </c>
      <c r="BH14" s="109">
        <f t="shared" si="10"/>
        <v>0</v>
      </c>
      <c r="BI14" s="110">
        <f t="shared" si="10"/>
        <v>0</v>
      </c>
      <c r="BJ14" s="108">
        <f t="shared" si="10"/>
        <v>0</v>
      </c>
      <c r="BK14" s="109">
        <f t="shared" si="10"/>
        <v>0</v>
      </c>
      <c r="BL14" s="110">
        <f t="shared" si="11"/>
        <v>0</v>
      </c>
      <c r="BM14" s="108">
        <f t="shared" si="11"/>
        <v>0</v>
      </c>
      <c r="BN14" s="109">
        <f t="shared" si="11"/>
        <v>0</v>
      </c>
      <c r="BO14" s="110">
        <f t="shared" si="11"/>
        <v>0</v>
      </c>
      <c r="BP14" s="108">
        <f t="shared" si="11"/>
        <v>0</v>
      </c>
      <c r="BQ14" s="109">
        <f t="shared" si="11"/>
        <v>0</v>
      </c>
      <c r="BR14" s="110">
        <f t="shared" si="11"/>
        <v>0</v>
      </c>
      <c r="BS14" s="108">
        <f t="shared" si="11"/>
        <v>0</v>
      </c>
      <c r="BT14" s="109">
        <f t="shared" si="11"/>
        <v>0</v>
      </c>
      <c r="BU14" s="110">
        <f t="shared" si="11"/>
        <v>0</v>
      </c>
      <c r="BV14" s="108">
        <f t="shared" si="11"/>
        <v>0</v>
      </c>
      <c r="BW14" s="109">
        <f t="shared" si="11"/>
        <v>0</v>
      </c>
      <c r="BX14" s="110">
        <f t="shared" si="12"/>
        <v>0</v>
      </c>
      <c r="BY14" s="108">
        <f t="shared" si="12"/>
        <v>0</v>
      </c>
      <c r="BZ14" s="109">
        <f t="shared" si="12"/>
        <v>0</v>
      </c>
      <c r="CA14" s="110">
        <f t="shared" si="12"/>
        <v>0</v>
      </c>
      <c r="CB14" s="108">
        <f t="shared" si="12"/>
        <v>0</v>
      </c>
      <c r="CC14" s="109">
        <f t="shared" si="12"/>
        <v>0</v>
      </c>
      <c r="CD14" s="110">
        <f t="shared" si="12"/>
        <v>0</v>
      </c>
      <c r="CE14" s="108">
        <f t="shared" si="12"/>
        <v>0</v>
      </c>
      <c r="CF14" s="109">
        <f t="shared" si="12"/>
        <v>0</v>
      </c>
      <c r="CG14" s="110">
        <f t="shared" si="12"/>
        <v>0</v>
      </c>
      <c r="CH14" s="108">
        <f t="shared" si="12"/>
        <v>0</v>
      </c>
      <c r="CI14" s="109">
        <f t="shared" si="12"/>
        <v>0</v>
      </c>
      <c r="CJ14" s="111"/>
      <c r="CK14" s="112">
        <f t="shared" si="13"/>
        <v>0</v>
      </c>
      <c r="CL14" s="112">
        <f t="shared" si="14"/>
        <v>0</v>
      </c>
      <c r="CM14" s="112">
        <f t="shared" si="15"/>
        <v>0</v>
      </c>
      <c r="CN14" s="112">
        <f t="shared" si="16"/>
        <v>0</v>
      </c>
      <c r="CO14" s="112">
        <f t="shared" si="17"/>
        <v>0</v>
      </c>
      <c r="CP14" s="112">
        <f t="shared" si="18"/>
        <v>40000</v>
      </c>
      <c r="CQ14" s="112">
        <f t="shared" si="19"/>
        <v>0</v>
      </c>
      <c r="CR14" s="112">
        <f t="shared" si="20"/>
        <v>0</v>
      </c>
      <c r="CS14" s="114">
        <f t="shared" si="26"/>
        <v>0</v>
      </c>
      <c r="CT14" s="114">
        <f t="shared" si="21"/>
        <v>0</v>
      </c>
      <c r="CU14" s="114">
        <f t="shared" si="21"/>
        <v>0</v>
      </c>
      <c r="CV14" s="114">
        <f t="shared" si="21"/>
        <v>0</v>
      </c>
      <c r="CW14" s="114">
        <f t="shared" si="21"/>
        <v>0</v>
      </c>
      <c r="CX14" s="114">
        <f t="shared" si="21"/>
        <v>0</v>
      </c>
      <c r="CY14" s="114">
        <f t="shared" si="21"/>
        <v>0</v>
      </c>
      <c r="CZ14" s="114">
        <f t="shared" si="21"/>
        <v>0</v>
      </c>
      <c r="DA14" s="114">
        <f t="shared" si="21"/>
        <v>0</v>
      </c>
      <c r="DB14" s="114">
        <f t="shared" si="21"/>
        <v>0</v>
      </c>
      <c r="DC14" s="114">
        <f t="shared" si="21"/>
        <v>0</v>
      </c>
      <c r="DD14" s="114">
        <f t="shared" si="21"/>
        <v>0</v>
      </c>
      <c r="DE14" s="114">
        <f t="shared" si="21"/>
        <v>0</v>
      </c>
      <c r="DF14" s="114">
        <f t="shared" si="21"/>
        <v>0</v>
      </c>
      <c r="DG14" s="114">
        <f t="shared" si="21"/>
        <v>0</v>
      </c>
      <c r="DH14" s="114">
        <f t="shared" si="21"/>
        <v>0</v>
      </c>
      <c r="DI14" s="111"/>
      <c r="DJ14" s="112">
        <f t="shared" si="22"/>
        <v>0</v>
      </c>
      <c r="DK14" s="115">
        <f t="shared" si="22"/>
        <v>40000</v>
      </c>
      <c r="DL14" s="116">
        <f t="shared" si="22"/>
        <v>0</v>
      </c>
      <c r="DM14" s="116">
        <f t="shared" si="22"/>
        <v>0</v>
      </c>
      <c r="DN14" s="116">
        <f t="shared" si="22"/>
        <v>0</v>
      </c>
      <c r="DO14" s="117">
        <f t="shared" si="22"/>
        <v>0</v>
      </c>
    </row>
    <row r="15" spans="1:119" s="100" customFormat="1" ht="14.45">
      <c r="A15" s="100">
        <f t="shared" si="23"/>
        <v>9</v>
      </c>
      <c r="B15" s="100" t="s">
        <v>165</v>
      </c>
      <c r="C15" s="100">
        <v>40000</v>
      </c>
      <c r="D15" s="100" t="s">
        <v>166</v>
      </c>
      <c r="E15" s="101" t="s">
        <v>165</v>
      </c>
      <c r="F15" s="102" t="str">
        <f t="shared" si="24"/>
        <v>4800</v>
      </c>
      <c r="G15" s="100" t="s">
        <v>167</v>
      </c>
      <c r="H15" s="102" t="str">
        <f t="shared" si="7"/>
        <v>M9000</v>
      </c>
      <c r="I15" s="100" t="s">
        <v>172</v>
      </c>
      <c r="K15" s="103" t="s">
        <v>177</v>
      </c>
      <c r="L15" s="104">
        <v>46266</v>
      </c>
      <c r="M15" s="105">
        <v>200000</v>
      </c>
      <c r="N15" s="106">
        <v>120</v>
      </c>
      <c r="O15" s="107">
        <f t="shared" si="25"/>
        <v>49888</v>
      </c>
      <c r="P15" s="108">
        <f t="shared" si="8"/>
        <v>0</v>
      </c>
      <c r="Q15" s="108">
        <f t="shared" si="8"/>
        <v>0</v>
      </c>
      <c r="R15" s="109">
        <f t="shared" si="8"/>
        <v>0</v>
      </c>
      <c r="S15" s="110">
        <f t="shared" si="8"/>
        <v>0</v>
      </c>
      <c r="T15" s="108">
        <f t="shared" si="8"/>
        <v>0</v>
      </c>
      <c r="U15" s="109">
        <f t="shared" si="8"/>
        <v>0</v>
      </c>
      <c r="V15" s="110">
        <f t="shared" si="8"/>
        <v>0</v>
      </c>
      <c r="W15" s="108">
        <f t="shared" si="8"/>
        <v>0</v>
      </c>
      <c r="X15" s="109">
        <f t="shared" si="8"/>
        <v>0</v>
      </c>
      <c r="Y15" s="110">
        <f t="shared" si="8"/>
        <v>0</v>
      </c>
      <c r="Z15" s="108">
        <f t="shared" si="8"/>
        <v>0</v>
      </c>
      <c r="AA15" s="109">
        <f t="shared" si="8"/>
        <v>0</v>
      </c>
      <c r="AB15" s="110">
        <f t="shared" si="8"/>
        <v>0</v>
      </c>
      <c r="AC15" s="108">
        <f t="shared" si="8"/>
        <v>0</v>
      </c>
      <c r="AD15" s="109">
        <f t="shared" si="8"/>
        <v>0</v>
      </c>
      <c r="AE15" s="110">
        <f t="shared" si="8"/>
        <v>0</v>
      </c>
      <c r="AF15" s="108">
        <f t="shared" si="9"/>
        <v>0</v>
      </c>
      <c r="AG15" s="109">
        <f t="shared" si="9"/>
        <v>0</v>
      </c>
      <c r="AH15" s="110">
        <f t="shared" si="9"/>
        <v>0</v>
      </c>
      <c r="AI15" s="108">
        <f t="shared" si="9"/>
        <v>0</v>
      </c>
      <c r="AJ15" s="109">
        <f t="shared" si="9"/>
        <v>200000</v>
      </c>
      <c r="AK15" s="110">
        <f t="shared" si="9"/>
        <v>0</v>
      </c>
      <c r="AL15" s="108">
        <f t="shared" si="9"/>
        <v>0</v>
      </c>
      <c r="AM15" s="109">
        <f t="shared" si="9"/>
        <v>0</v>
      </c>
      <c r="AN15" s="110">
        <f t="shared" si="9"/>
        <v>0</v>
      </c>
      <c r="AO15" s="108">
        <f t="shared" si="9"/>
        <v>0</v>
      </c>
      <c r="AP15" s="109">
        <f t="shared" si="9"/>
        <v>0</v>
      </c>
      <c r="AQ15" s="110">
        <f t="shared" si="9"/>
        <v>0</v>
      </c>
      <c r="AR15" s="108">
        <f t="shared" si="9"/>
        <v>0</v>
      </c>
      <c r="AS15" s="109">
        <f t="shared" si="9"/>
        <v>0</v>
      </c>
      <c r="AT15" s="110">
        <f t="shared" si="9"/>
        <v>0</v>
      </c>
      <c r="AU15" s="108">
        <f t="shared" si="9"/>
        <v>0</v>
      </c>
      <c r="AV15" s="109">
        <f t="shared" si="10"/>
        <v>0</v>
      </c>
      <c r="AW15" s="110">
        <f t="shared" si="10"/>
        <v>0</v>
      </c>
      <c r="AX15" s="108">
        <f t="shared" si="10"/>
        <v>0</v>
      </c>
      <c r="AY15" s="109">
        <f t="shared" si="10"/>
        <v>0</v>
      </c>
      <c r="AZ15" s="110">
        <f t="shared" si="10"/>
        <v>0</v>
      </c>
      <c r="BA15" s="108">
        <f t="shared" si="10"/>
        <v>0</v>
      </c>
      <c r="BB15" s="109">
        <f t="shared" si="10"/>
        <v>0</v>
      </c>
      <c r="BC15" s="110">
        <f t="shared" si="10"/>
        <v>0</v>
      </c>
      <c r="BD15" s="108">
        <f t="shared" si="10"/>
        <v>0</v>
      </c>
      <c r="BE15" s="109">
        <f t="shared" si="10"/>
        <v>0</v>
      </c>
      <c r="BF15" s="110">
        <f t="shared" si="10"/>
        <v>0</v>
      </c>
      <c r="BG15" s="108">
        <f t="shared" si="10"/>
        <v>0</v>
      </c>
      <c r="BH15" s="109">
        <f t="shared" si="10"/>
        <v>0</v>
      </c>
      <c r="BI15" s="110">
        <f t="shared" si="10"/>
        <v>0</v>
      </c>
      <c r="BJ15" s="108">
        <f t="shared" si="10"/>
        <v>0</v>
      </c>
      <c r="BK15" s="109">
        <f t="shared" si="10"/>
        <v>0</v>
      </c>
      <c r="BL15" s="110">
        <f t="shared" si="11"/>
        <v>0</v>
      </c>
      <c r="BM15" s="108">
        <f t="shared" si="11"/>
        <v>0</v>
      </c>
      <c r="BN15" s="109">
        <f t="shared" si="11"/>
        <v>0</v>
      </c>
      <c r="BO15" s="110">
        <f t="shared" si="11"/>
        <v>0</v>
      </c>
      <c r="BP15" s="108">
        <f t="shared" si="11"/>
        <v>0</v>
      </c>
      <c r="BQ15" s="109">
        <f t="shared" si="11"/>
        <v>0</v>
      </c>
      <c r="BR15" s="110">
        <f t="shared" si="11"/>
        <v>0</v>
      </c>
      <c r="BS15" s="108">
        <f t="shared" si="11"/>
        <v>0</v>
      </c>
      <c r="BT15" s="109">
        <f t="shared" si="11"/>
        <v>0</v>
      </c>
      <c r="BU15" s="110">
        <f t="shared" si="11"/>
        <v>0</v>
      </c>
      <c r="BV15" s="108">
        <f t="shared" si="11"/>
        <v>0</v>
      </c>
      <c r="BW15" s="109">
        <f t="shared" si="11"/>
        <v>0</v>
      </c>
      <c r="BX15" s="110">
        <f t="shared" si="12"/>
        <v>0</v>
      </c>
      <c r="BY15" s="108">
        <f t="shared" si="12"/>
        <v>0</v>
      </c>
      <c r="BZ15" s="109">
        <f t="shared" si="12"/>
        <v>0</v>
      </c>
      <c r="CA15" s="110">
        <f t="shared" si="12"/>
        <v>0</v>
      </c>
      <c r="CB15" s="108">
        <f t="shared" si="12"/>
        <v>0</v>
      </c>
      <c r="CC15" s="109">
        <f t="shared" si="12"/>
        <v>0</v>
      </c>
      <c r="CD15" s="110">
        <f t="shared" si="12"/>
        <v>0</v>
      </c>
      <c r="CE15" s="108">
        <f t="shared" si="12"/>
        <v>0</v>
      </c>
      <c r="CF15" s="109">
        <f t="shared" si="12"/>
        <v>0</v>
      </c>
      <c r="CG15" s="110">
        <f t="shared" si="12"/>
        <v>0</v>
      </c>
      <c r="CH15" s="108">
        <f t="shared" si="12"/>
        <v>0</v>
      </c>
      <c r="CI15" s="109">
        <f t="shared" si="12"/>
        <v>0</v>
      </c>
      <c r="CJ15" s="111"/>
      <c r="CK15" s="112">
        <f t="shared" si="13"/>
        <v>0</v>
      </c>
      <c r="CL15" s="112">
        <f t="shared" si="14"/>
        <v>0</v>
      </c>
      <c r="CM15" s="112">
        <f t="shared" si="15"/>
        <v>0</v>
      </c>
      <c r="CN15" s="112">
        <f t="shared" si="16"/>
        <v>0</v>
      </c>
      <c r="CO15" s="112">
        <f t="shared" si="17"/>
        <v>0</v>
      </c>
      <c r="CP15" s="112">
        <f t="shared" si="18"/>
        <v>0</v>
      </c>
      <c r="CQ15" s="112">
        <f t="shared" si="19"/>
        <v>200000</v>
      </c>
      <c r="CR15" s="112">
        <f t="shared" si="20"/>
        <v>0</v>
      </c>
      <c r="CS15" s="114">
        <f t="shared" si="26"/>
        <v>0</v>
      </c>
      <c r="CT15" s="114">
        <f t="shared" si="21"/>
        <v>0</v>
      </c>
      <c r="CU15" s="114">
        <f t="shared" si="21"/>
        <v>0</v>
      </c>
      <c r="CV15" s="114">
        <f t="shared" si="21"/>
        <v>0</v>
      </c>
      <c r="CW15" s="114">
        <f t="shared" si="21"/>
        <v>0</v>
      </c>
      <c r="CX15" s="114">
        <f t="shared" si="21"/>
        <v>0</v>
      </c>
      <c r="CY15" s="114">
        <f t="shared" si="21"/>
        <v>0</v>
      </c>
      <c r="CZ15" s="114">
        <f t="shared" si="21"/>
        <v>0</v>
      </c>
      <c r="DA15" s="114">
        <f t="shared" si="21"/>
        <v>0</v>
      </c>
      <c r="DB15" s="114">
        <f t="shared" si="21"/>
        <v>0</v>
      </c>
      <c r="DC15" s="114">
        <f t="shared" si="21"/>
        <v>0</v>
      </c>
      <c r="DD15" s="114">
        <f t="shared" si="21"/>
        <v>0</v>
      </c>
      <c r="DE15" s="114">
        <f t="shared" si="21"/>
        <v>0</v>
      </c>
      <c r="DF15" s="114">
        <f t="shared" si="21"/>
        <v>0</v>
      </c>
      <c r="DG15" s="114">
        <f t="shared" si="21"/>
        <v>0</v>
      </c>
      <c r="DH15" s="114">
        <f t="shared" si="21"/>
        <v>0</v>
      </c>
      <c r="DI15" s="111"/>
      <c r="DJ15" s="112">
        <f t="shared" si="22"/>
        <v>0</v>
      </c>
      <c r="DK15" s="115">
        <f t="shared" si="22"/>
        <v>200000</v>
      </c>
      <c r="DL15" s="116">
        <f t="shared" si="22"/>
        <v>0</v>
      </c>
      <c r="DM15" s="116">
        <f t="shared" si="22"/>
        <v>0</v>
      </c>
      <c r="DN15" s="116">
        <f t="shared" si="22"/>
        <v>0</v>
      </c>
      <c r="DO15" s="117">
        <f t="shared" si="22"/>
        <v>0</v>
      </c>
    </row>
    <row r="16" spans="1:119" ht="14.45">
      <c r="A16" s="23">
        <f t="shared" si="23"/>
        <v>10</v>
      </c>
      <c r="B16" s="23" t="s">
        <v>165</v>
      </c>
      <c r="C16" s="23">
        <v>40000</v>
      </c>
      <c r="D16" s="23" t="s">
        <v>166</v>
      </c>
      <c r="E16" s="44" t="s">
        <v>165</v>
      </c>
      <c r="F16" s="45" t="str">
        <f t="shared" si="24"/>
        <v>4800</v>
      </c>
      <c r="G16" s="23" t="s">
        <v>167</v>
      </c>
      <c r="H16" s="45" t="str">
        <f t="shared" si="7"/>
        <v>M9000</v>
      </c>
      <c r="I16" s="23" t="s">
        <v>172</v>
      </c>
      <c r="J16" s="23" t="s">
        <v>3</v>
      </c>
      <c r="K16" s="46" t="s">
        <v>178</v>
      </c>
      <c r="L16" s="47">
        <v>46478</v>
      </c>
      <c r="M16" s="48">
        <v>700000</v>
      </c>
      <c r="N16" s="49">
        <v>120</v>
      </c>
      <c r="O16" s="50">
        <f t="shared" si="25"/>
        <v>50100</v>
      </c>
      <c r="P16" s="51">
        <f t="shared" si="8"/>
        <v>0</v>
      </c>
      <c r="Q16" s="51">
        <f t="shared" si="8"/>
        <v>0</v>
      </c>
      <c r="R16" s="52">
        <f t="shared" si="8"/>
        <v>0</v>
      </c>
      <c r="S16" s="53">
        <f t="shared" si="8"/>
        <v>0</v>
      </c>
      <c r="T16" s="51">
        <f t="shared" si="8"/>
        <v>0</v>
      </c>
      <c r="U16" s="52">
        <f t="shared" si="8"/>
        <v>0</v>
      </c>
      <c r="V16" s="53">
        <f t="shared" si="8"/>
        <v>0</v>
      </c>
      <c r="W16" s="51">
        <f t="shared" si="8"/>
        <v>0</v>
      </c>
      <c r="X16" s="52">
        <f t="shared" si="8"/>
        <v>0</v>
      </c>
      <c r="Y16" s="51">
        <f t="shared" si="8"/>
        <v>0</v>
      </c>
      <c r="Z16" s="51">
        <f t="shared" si="8"/>
        <v>0</v>
      </c>
      <c r="AA16" s="52">
        <f t="shared" si="8"/>
        <v>0</v>
      </c>
      <c r="AB16" s="53">
        <f t="shared" si="8"/>
        <v>0</v>
      </c>
      <c r="AC16" s="51">
        <f t="shared" si="8"/>
        <v>0</v>
      </c>
      <c r="AD16" s="52">
        <f t="shared" si="8"/>
        <v>0</v>
      </c>
      <c r="AE16" s="53">
        <f t="shared" si="8"/>
        <v>0</v>
      </c>
      <c r="AF16" s="51">
        <f t="shared" si="9"/>
        <v>0</v>
      </c>
      <c r="AG16" s="52">
        <f t="shared" si="9"/>
        <v>0</v>
      </c>
      <c r="AH16" s="53">
        <f t="shared" si="9"/>
        <v>0</v>
      </c>
      <c r="AI16" s="51">
        <f t="shared" si="9"/>
        <v>0</v>
      </c>
      <c r="AJ16" s="52">
        <f t="shared" si="9"/>
        <v>0</v>
      </c>
      <c r="AK16" s="53">
        <f t="shared" si="9"/>
        <v>0</v>
      </c>
      <c r="AL16" s="51">
        <f t="shared" si="9"/>
        <v>0</v>
      </c>
      <c r="AM16" s="52">
        <f t="shared" si="9"/>
        <v>0</v>
      </c>
      <c r="AN16" s="53">
        <f t="shared" si="9"/>
        <v>0</v>
      </c>
      <c r="AO16" s="51">
        <f t="shared" si="9"/>
        <v>0</v>
      </c>
      <c r="AP16" s="52">
        <f t="shared" si="9"/>
        <v>0</v>
      </c>
      <c r="AQ16" s="53">
        <f t="shared" si="9"/>
        <v>700000</v>
      </c>
      <c r="AR16" s="51">
        <f t="shared" si="9"/>
        <v>0</v>
      </c>
      <c r="AS16" s="52">
        <f t="shared" si="9"/>
        <v>0</v>
      </c>
      <c r="AT16" s="53">
        <f t="shared" si="9"/>
        <v>0</v>
      </c>
      <c r="AU16" s="51">
        <f t="shared" si="9"/>
        <v>0</v>
      </c>
      <c r="AV16" s="52">
        <f t="shared" si="10"/>
        <v>0</v>
      </c>
      <c r="AW16" s="53">
        <f t="shared" si="10"/>
        <v>0</v>
      </c>
      <c r="AX16" s="51">
        <f t="shared" si="10"/>
        <v>0</v>
      </c>
      <c r="AY16" s="52">
        <f t="shared" si="10"/>
        <v>0</v>
      </c>
      <c r="AZ16" s="53">
        <f t="shared" si="10"/>
        <v>0</v>
      </c>
      <c r="BA16" s="51">
        <f t="shared" si="10"/>
        <v>0</v>
      </c>
      <c r="BB16" s="52">
        <f t="shared" si="10"/>
        <v>0</v>
      </c>
      <c r="BC16" s="53">
        <f t="shared" si="10"/>
        <v>0</v>
      </c>
      <c r="BD16" s="51">
        <f t="shared" si="10"/>
        <v>0</v>
      </c>
      <c r="BE16" s="52">
        <f t="shared" si="10"/>
        <v>0</v>
      </c>
      <c r="BF16" s="53">
        <f t="shared" si="10"/>
        <v>0</v>
      </c>
      <c r="BG16" s="51">
        <f t="shared" si="10"/>
        <v>0</v>
      </c>
      <c r="BH16" s="52">
        <f t="shared" si="10"/>
        <v>0</v>
      </c>
      <c r="BI16" s="53">
        <f t="shared" si="10"/>
        <v>0</v>
      </c>
      <c r="BJ16" s="51">
        <f t="shared" si="10"/>
        <v>0</v>
      </c>
      <c r="BK16" s="52">
        <f t="shared" si="10"/>
        <v>0</v>
      </c>
      <c r="BL16" s="53">
        <f t="shared" si="11"/>
        <v>0</v>
      </c>
      <c r="BM16" s="51">
        <f t="shared" si="11"/>
        <v>0</v>
      </c>
      <c r="BN16" s="52">
        <f t="shared" si="11"/>
        <v>0</v>
      </c>
      <c r="BO16" s="53">
        <f t="shared" si="11"/>
        <v>0</v>
      </c>
      <c r="BP16" s="51">
        <f t="shared" si="11"/>
        <v>0</v>
      </c>
      <c r="BQ16" s="52">
        <f t="shared" si="11"/>
        <v>0</v>
      </c>
      <c r="BR16" s="53">
        <f t="shared" si="11"/>
        <v>0</v>
      </c>
      <c r="BS16" s="51">
        <f t="shared" si="11"/>
        <v>0</v>
      </c>
      <c r="BT16" s="52">
        <f t="shared" si="11"/>
        <v>0</v>
      </c>
      <c r="BU16" s="53">
        <f t="shared" si="11"/>
        <v>0</v>
      </c>
      <c r="BV16" s="51">
        <f t="shared" si="11"/>
        <v>0</v>
      </c>
      <c r="BW16" s="52">
        <f t="shared" si="11"/>
        <v>0</v>
      </c>
      <c r="BX16" s="53">
        <f t="shared" si="12"/>
        <v>0</v>
      </c>
      <c r="BY16" s="51">
        <f t="shared" si="12"/>
        <v>0</v>
      </c>
      <c r="BZ16" s="52">
        <f t="shared" si="12"/>
        <v>0</v>
      </c>
      <c r="CA16" s="53">
        <f t="shared" si="12"/>
        <v>0</v>
      </c>
      <c r="CB16" s="51">
        <f t="shared" si="12"/>
        <v>0</v>
      </c>
      <c r="CC16" s="52">
        <f t="shared" si="12"/>
        <v>0</v>
      </c>
      <c r="CD16" s="53">
        <f t="shared" si="12"/>
        <v>0</v>
      </c>
      <c r="CE16" s="51">
        <f t="shared" si="12"/>
        <v>0</v>
      </c>
      <c r="CF16" s="52">
        <f t="shared" si="12"/>
        <v>0</v>
      </c>
      <c r="CG16" s="53">
        <f t="shared" si="12"/>
        <v>0</v>
      </c>
      <c r="CH16" s="51">
        <f t="shared" si="12"/>
        <v>0</v>
      </c>
      <c r="CI16" s="52">
        <f t="shared" si="12"/>
        <v>0</v>
      </c>
      <c r="CJ16" s="40"/>
      <c r="CK16" s="54">
        <f t="shared" si="13"/>
        <v>0</v>
      </c>
      <c r="CL16" s="54">
        <f t="shared" si="14"/>
        <v>0</v>
      </c>
      <c r="CM16" s="54">
        <f t="shared" si="15"/>
        <v>0</v>
      </c>
      <c r="CN16" s="54">
        <f t="shared" si="16"/>
        <v>0</v>
      </c>
      <c r="CO16" s="54">
        <f t="shared" si="17"/>
        <v>0</v>
      </c>
      <c r="CP16" s="54">
        <f t="shared" si="18"/>
        <v>0</v>
      </c>
      <c r="CQ16" s="54">
        <f t="shared" si="19"/>
        <v>0</v>
      </c>
      <c r="CR16" s="54">
        <f t="shared" si="20"/>
        <v>0</v>
      </c>
      <c r="CS16" s="55">
        <f t="shared" si="26"/>
        <v>0</v>
      </c>
      <c r="CT16" s="55">
        <f t="shared" si="21"/>
        <v>700000</v>
      </c>
      <c r="CU16" s="55">
        <f t="shared" si="21"/>
        <v>0</v>
      </c>
      <c r="CV16" s="55">
        <f t="shared" si="21"/>
        <v>0</v>
      </c>
      <c r="CW16" s="55">
        <f t="shared" si="21"/>
        <v>0</v>
      </c>
      <c r="CX16" s="55">
        <f t="shared" si="21"/>
        <v>0</v>
      </c>
      <c r="CY16" s="55">
        <f t="shared" si="21"/>
        <v>0</v>
      </c>
      <c r="CZ16" s="55">
        <f t="shared" si="21"/>
        <v>0</v>
      </c>
      <c r="DA16" s="55">
        <f t="shared" si="21"/>
        <v>0</v>
      </c>
      <c r="DB16" s="55">
        <f t="shared" si="21"/>
        <v>0</v>
      </c>
      <c r="DC16" s="55">
        <f t="shared" si="21"/>
        <v>0</v>
      </c>
      <c r="DD16" s="55">
        <f t="shared" si="21"/>
        <v>0</v>
      </c>
      <c r="DE16" s="55">
        <f t="shared" si="21"/>
        <v>0</v>
      </c>
      <c r="DF16" s="55">
        <f t="shared" si="21"/>
        <v>0</v>
      </c>
      <c r="DG16" s="55">
        <f t="shared" si="21"/>
        <v>0</v>
      </c>
      <c r="DH16" s="55">
        <f t="shared" si="21"/>
        <v>0</v>
      </c>
      <c r="DI16" s="40"/>
      <c r="DJ16" s="54">
        <f t="shared" si="22"/>
        <v>0</v>
      </c>
      <c r="DK16" s="56">
        <f t="shared" si="22"/>
        <v>0</v>
      </c>
      <c r="DL16" s="57">
        <f t="shared" si="22"/>
        <v>700000</v>
      </c>
      <c r="DM16" s="57">
        <f t="shared" si="22"/>
        <v>0</v>
      </c>
      <c r="DN16" s="57">
        <f t="shared" si="22"/>
        <v>0</v>
      </c>
      <c r="DO16" s="58">
        <f t="shared" si="22"/>
        <v>0</v>
      </c>
    </row>
    <row r="17" spans="1:119" ht="14.45">
      <c r="A17" s="23">
        <f t="shared" si="23"/>
        <v>11</v>
      </c>
      <c r="B17" s="23" t="s">
        <v>165</v>
      </c>
      <c r="C17" s="23">
        <v>40000</v>
      </c>
      <c r="D17" s="23" t="s">
        <v>166</v>
      </c>
      <c r="E17" s="44" t="s">
        <v>165</v>
      </c>
      <c r="F17" s="45" t="str">
        <f t="shared" si="24"/>
        <v>4400</v>
      </c>
      <c r="G17" s="23" t="s">
        <v>179</v>
      </c>
      <c r="H17" s="45" t="str">
        <f t="shared" si="7"/>
        <v>M9000</v>
      </c>
      <c r="I17" s="23" t="s">
        <v>172</v>
      </c>
      <c r="J17" s="23" t="s">
        <v>180</v>
      </c>
      <c r="K17" s="46" t="s">
        <v>181</v>
      </c>
      <c r="L17" s="47">
        <v>46204</v>
      </c>
      <c r="M17" s="48">
        <v>80000</v>
      </c>
      <c r="N17" s="49">
        <v>120</v>
      </c>
      <c r="O17" s="50">
        <f t="shared" si="25"/>
        <v>49827</v>
      </c>
      <c r="P17" s="51">
        <f t="shared" si="8"/>
        <v>0</v>
      </c>
      <c r="Q17" s="51">
        <f t="shared" si="8"/>
        <v>0</v>
      </c>
      <c r="R17" s="52">
        <f t="shared" si="8"/>
        <v>0</v>
      </c>
      <c r="S17" s="53">
        <f t="shared" si="8"/>
        <v>0</v>
      </c>
      <c r="T17" s="51">
        <f t="shared" si="8"/>
        <v>0</v>
      </c>
      <c r="U17" s="52">
        <f t="shared" si="8"/>
        <v>0</v>
      </c>
      <c r="V17" s="53">
        <f t="shared" si="8"/>
        <v>0</v>
      </c>
      <c r="W17" s="51">
        <f t="shared" si="8"/>
        <v>0</v>
      </c>
      <c r="X17" s="52">
        <f t="shared" si="8"/>
        <v>0</v>
      </c>
      <c r="Y17" s="53">
        <f t="shared" si="8"/>
        <v>0</v>
      </c>
      <c r="Z17" s="51">
        <f t="shared" si="8"/>
        <v>0</v>
      </c>
      <c r="AA17" s="52">
        <f t="shared" si="8"/>
        <v>0</v>
      </c>
      <c r="AB17" s="53">
        <f t="shared" si="8"/>
        <v>0</v>
      </c>
      <c r="AC17" s="51">
        <f t="shared" si="8"/>
        <v>0</v>
      </c>
      <c r="AD17" s="52">
        <f t="shared" si="8"/>
        <v>0</v>
      </c>
      <c r="AE17" s="53">
        <f t="shared" si="8"/>
        <v>0</v>
      </c>
      <c r="AF17" s="51">
        <f t="shared" si="9"/>
        <v>0</v>
      </c>
      <c r="AG17" s="52">
        <f t="shared" si="9"/>
        <v>0</v>
      </c>
      <c r="AH17" s="53">
        <f t="shared" si="9"/>
        <v>80000</v>
      </c>
      <c r="AI17" s="51">
        <f t="shared" si="9"/>
        <v>0</v>
      </c>
      <c r="AJ17" s="52">
        <f t="shared" si="9"/>
        <v>0</v>
      </c>
      <c r="AK17" s="53">
        <f t="shared" si="9"/>
        <v>0</v>
      </c>
      <c r="AL17" s="51">
        <f t="shared" si="9"/>
        <v>0</v>
      </c>
      <c r="AM17" s="52">
        <f t="shared" si="9"/>
        <v>0</v>
      </c>
      <c r="AN17" s="53">
        <f t="shared" si="9"/>
        <v>0</v>
      </c>
      <c r="AO17" s="51">
        <f t="shared" si="9"/>
        <v>0</v>
      </c>
      <c r="AP17" s="52">
        <f t="shared" si="9"/>
        <v>0</v>
      </c>
      <c r="AQ17" s="53">
        <f t="shared" si="9"/>
        <v>0</v>
      </c>
      <c r="AR17" s="51">
        <f t="shared" si="9"/>
        <v>0</v>
      </c>
      <c r="AS17" s="52">
        <f t="shared" si="9"/>
        <v>0</v>
      </c>
      <c r="AT17" s="53">
        <f t="shared" si="9"/>
        <v>0</v>
      </c>
      <c r="AU17" s="51">
        <f t="shared" si="9"/>
        <v>0</v>
      </c>
      <c r="AV17" s="52">
        <f t="shared" si="10"/>
        <v>0</v>
      </c>
      <c r="AW17" s="53">
        <f t="shared" si="10"/>
        <v>0</v>
      </c>
      <c r="AX17" s="51">
        <f t="shared" si="10"/>
        <v>0</v>
      </c>
      <c r="AY17" s="52">
        <f t="shared" si="10"/>
        <v>0</v>
      </c>
      <c r="AZ17" s="53">
        <f t="shared" si="10"/>
        <v>0</v>
      </c>
      <c r="BA17" s="51">
        <f t="shared" si="10"/>
        <v>0</v>
      </c>
      <c r="BB17" s="52">
        <f t="shared" si="10"/>
        <v>0</v>
      </c>
      <c r="BC17" s="53">
        <f t="shared" si="10"/>
        <v>0</v>
      </c>
      <c r="BD17" s="51">
        <f t="shared" si="10"/>
        <v>0</v>
      </c>
      <c r="BE17" s="52">
        <f t="shared" si="10"/>
        <v>0</v>
      </c>
      <c r="BF17" s="53">
        <f t="shared" si="10"/>
        <v>0</v>
      </c>
      <c r="BG17" s="51">
        <f t="shared" si="10"/>
        <v>0</v>
      </c>
      <c r="BH17" s="52">
        <f t="shared" si="10"/>
        <v>0</v>
      </c>
      <c r="BI17" s="53">
        <f t="shared" si="10"/>
        <v>0</v>
      </c>
      <c r="BJ17" s="51">
        <f t="shared" si="10"/>
        <v>0</v>
      </c>
      <c r="BK17" s="52">
        <f t="shared" si="10"/>
        <v>0</v>
      </c>
      <c r="BL17" s="53">
        <f t="shared" si="11"/>
        <v>0</v>
      </c>
      <c r="BM17" s="51">
        <f t="shared" si="11"/>
        <v>0</v>
      </c>
      <c r="BN17" s="52">
        <f t="shared" si="11"/>
        <v>0</v>
      </c>
      <c r="BO17" s="53">
        <f t="shared" si="11"/>
        <v>0</v>
      </c>
      <c r="BP17" s="51">
        <f t="shared" si="11"/>
        <v>0</v>
      </c>
      <c r="BQ17" s="52">
        <f t="shared" si="11"/>
        <v>0</v>
      </c>
      <c r="BR17" s="53">
        <f t="shared" si="11"/>
        <v>0</v>
      </c>
      <c r="BS17" s="51">
        <f t="shared" si="11"/>
        <v>0</v>
      </c>
      <c r="BT17" s="52">
        <f t="shared" si="11"/>
        <v>0</v>
      </c>
      <c r="BU17" s="53">
        <f t="shared" si="11"/>
        <v>0</v>
      </c>
      <c r="BV17" s="51">
        <f t="shared" si="11"/>
        <v>0</v>
      </c>
      <c r="BW17" s="52">
        <f t="shared" si="11"/>
        <v>0</v>
      </c>
      <c r="BX17" s="53">
        <f t="shared" si="12"/>
        <v>0</v>
      </c>
      <c r="BY17" s="51">
        <f t="shared" si="12"/>
        <v>0</v>
      </c>
      <c r="BZ17" s="52">
        <f t="shared" si="12"/>
        <v>0</v>
      </c>
      <c r="CA17" s="53">
        <f t="shared" si="12"/>
        <v>0</v>
      </c>
      <c r="CB17" s="51">
        <f t="shared" si="12"/>
        <v>0</v>
      </c>
      <c r="CC17" s="52">
        <f t="shared" si="12"/>
        <v>0</v>
      </c>
      <c r="CD17" s="53">
        <f t="shared" si="12"/>
        <v>0</v>
      </c>
      <c r="CE17" s="51">
        <f t="shared" si="12"/>
        <v>0</v>
      </c>
      <c r="CF17" s="52">
        <f t="shared" si="12"/>
        <v>0</v>
      </c>
      <c r="CG17" s="53">
        <f t="shared" si="12"/>
        <v>0</v>
      </c>
      <c r="CH17" s="51">
        <f t="shared" si="12"/>
        <v>0</v>
      </c>
      <c r="CI17" s="52">
        <f t="shared" si="12"/>
        <v>0</v>
      </c>
      <c r="CJ17" s="40"/>
      <c r="CK17" s="54">
        <f t="shared" si="13"/>
        <v>0</v>
      </c>
      <c r="CL17" s="54">
        <f t="shared" si="14"/>
        <v>0</v>
      </c>
      <c r="CM17" s="54">
        <f t="shared" si="15"/>
        <v>0</v>
      </c>
      <c r="CN17" s="54">
        <f t="shared" si="16"/>
        <v>0</v>
      </c>
      <c r="CO17" s="54">
        <f t="shared" si="17"/>
        <v>0</v>
      </c>
      <c r="CP17" s="54">
        <f t="shared" si="18"/>
        <v>0</v>
      </c>
      <c r="CQ17" s="54">
        <f t="shared" si="19"/>
        <v>80000</v>
      </c>
      <c r="CR17" s="54">
        <f t="shared" si="20"/>
        <v>0</v>
      </c>
      <c r="CS17" s="55">
        <f t="shared" si="26"/>
        <v>0</v>
      </c>
      <c r="CT17" s="55">
        <f t="shared" si="21"/>
        <v>0</v>
      </c>
      <c r="CU17" s="55">
        <f t="shared" si="21"/>
        <v>0</v>
      </c>
      <c r="CV17" s="55">
        <f t="shared" si="21"/>
        <v>0</v>
      </c>
      <c r="CW17" s="55">
        <f t="shared" si="21"/>
        <v>0</v>
      </c>
      <c r="CX17" s="55">
        <f t="shared" si="21"/>
        <v>0</v>
      </c>
      <c r="CY17" s="55">
        <f t="shared" si="21"/>
        <v>0</v>
      </c>
      <c r="CZ17" s="55">
        <f t="shared" si="21"/>
        <v>0</v>
      </c>
      <c r="DA17" s="55">
        <f t="shared" si="21"/>
        <v>0</v>
      </c>
      <c r="DB17" s="55">
        <f t="shared" si="21"/>
        <v>0</v>
      </c>
      <c r="DC17" s="55">
        <f t="shared" si="21"/>
        <v>0</v>
      </c>
      <c r="DD17" s="55">
        <f t="shared" si="21"/>
        <v>0</v>
      </c>
      <c r="DE17" s="55">
        <f t="shared" si="21"/>
        <v>0</v>
      </c>
      <c r="DF17" s="55">
        <f t="shared" si="21"/>
        <v>0</v>
      </c>
      <c r="DG17" s="55">
        <f t="shared" si="21"/>
        <v>0</v>
      </c>
      <c r="DH17" s="55">
        <f t="shared" si="21"/>
        <v>0</v>
      </c>
      <c r="DI17" s="40"/>
      <c r="DJ17" s="54">
        <f t="shared" si="22"/>
        <v>0</v>
      </c>
      <c r="DK17" s="56">
        <f t="shared" si="22"/>
        <v>80000</v>
      </c>
      <c r="DL17" s="57">
        <f t="shared" si="22"/>
        <v>0</v>
      </c>
      <c r="DM17" s="57">
        <f t="shared" si="22"/>
        <v>0</v>
      </c>
      <c r="DN17" s="57">
        <f t="shared" si="22"/>
        <v>0</v>
      </c>
      <c r="DO17" s="58">
        <f t="shared" si="22"/>
        <v>0</v>
      </c>
    </row>
    <row r="18" spans="1:119" ht="14.45">
      <c r="A18" s="23">
        <f t="shared" si="23"/>
        <v>12</v>
      </c>
      <c r="B18" s="23" t="s">
        <v>165</v>
      </c>
      <c r="C18" s="23">
        <v>40000</v>
      </c>
      <c r="D18" s="23" t="s">
        <v>166</v>
      </c>
      <c r="E18" s="44" t="s">
        <v>165</v>
      </c>
      <c r="F18" s="45" t="str">
        <f t="shared" si="24"/>
        <v>4800</v>
      </c>
      <c r="G18" s="23" t="s">
        <v>167</v>
      </c>
      <c r="H18" s="45" t="str">
        <f t="shared" si="7"/>
        <v>M9000</v>
      </c>
      <c r="I18" s="23" t="s">
        <v>172</v>
      </c>
      <c r="J18" s="23" t="s">
        <v>180</v>
      </c>
      <c r="K18" s="46" t="s">
        <v>182</v>
      </c>
      <c r="L18" s="47">
        <v>46204</v>
      </c>
      <c r="M18" s="48">
        <v>765000</v>
      </c>
      <c r="N18" s="49">
        <v>120</v>
      </c>
      <c r="O18" s="50">
        <f t="shared" si="25"/>
        <v>49827</v>
      </c>
      <c r="P18" s="51">
        <f t="shared" si="8"/>
        <v>0</v>
      </c>
      <c r="Q18" s="51">
        <f t="shared" si="8"/>
        <v>0</v>
      </c>
      <c r="R18" s="52">
        <f t="shared" si="8"/>
        <v>0</v>
      </c>
      <c r="S18" s="53">
        <f t="shared" si="8"/>
        <v>0</v>
      </c>
      <c r="T18" s="51">
        <f t="shared" si="8"/>
        <v>0</v>
      </c>
      <c r="U18" s="52">
        <f t="shared" si="8"/>
        <v>0</v>
      </c>
      <c r="V18" s="53">
        <f t="shared" si="8"/>
        <v>0</v>
      </c>
      <c r="W18" s="51">
        <f t="shared" si="8"/>
        <v>0</v>
      </c>
      <c r="X18" s="52">
        <f t="shared" si="8"/>
        <v>0</v>
      </c>
      <c r="Y18" s="53">
        <f t="shared" si="8"/>
        <v>0</v>
      </c>
      <c r="Z18" s="51">
        <f t="shared" si="8"/>
        <v>0</v>
      </c>
      <c r="AA18" s="52">
        <f t="shared" si="8"/>
        <v>0</v>
      </c>
      <c r="AB18" s="53">
        <f t="shared" si="8"/>
        <v>0</v>
      </c>
      <c r="AC18" s="51">
        <f t="shared" si="8"/>
        <v>0</v>
      </c>
      <c r="AD18" s="52">
        <f t="shared" si="8"/>
        <v>0</v>
      </c>
      <c r="AE18" s="53">
        <f t="shared" si="8"/>
        <v>0</v>
      </c>
      <c r="AF18" s="51">
        <f t="shared" si="9"/>
        <v>0</v>
      </c>
      <c r="AG18" s="52">
        <f t="shared" si="9"/>
        <v>0</v>
      </c>
      <c r="AH18" s="53">
        <f t="shared" si="9"/>
        <v>765000</v>
      </c>
      <c r="AI18" s="51">
        <f t="shared" si="9"/>
        <v>0</v>
      </c>
      <c r="AJ18" s="52">
        <f t="shared" si="9"/>
        <v>0</v>
      </c>
      <c r="AK18" s="53">
        <f t="shared" si="9"/>
        <v>0</v>
      </c>
      <c r="AL18" s="51">
        <f t="shared" si="9"/>
        <v>0</v>
      </c>
      <c r="AM18" s="52">
        <f t="shared" si="9"/>
        <v>0</v>
      </c>
      <c r="AN18" s="53">
        <f t="shared" si="9"/>
        <v>0</v>
      </c>
      <c r="AO18" s="51">
        <f t="shared" si="9"/>
        <v>0</v>
      </c>
      <c r="AP18" s="52">
        <f t="shared" si="9"/>
        <v>0</v>
      </c>
      <c r="AQ18" s="53">
        <f t="shared" si="9"/>
        <v>0</v>
      </c>
      <c r="AR18" s="51">
        <f t="shared" si="9"/>
        <v>0</v>
      </c>
      <c r="AS18" s="52">
        <f t="shared" si="9"/>
        <v>0</v>
      </c>
      <c r="AT18" s="53">
        <f t="shared" si="9"/>
        <v>0</v>
      </c>
      <c r="AU18" s="51">
        <f t="shared" si="9"/>
        <v>0</v>
      </c>
      <c r="AV18" s="52">
        <f t="shared" si="10"/>
        <v>0</v>
      </c>
      <c r="AW18" s="53">
        <f t="shared" si="10"/>
        <v>0</v>
      </c>
      <c r="AX18" s="51">
        <f t="shared" si="10"/>
        <v>0</v>
      </c>
      <c r="AY18" s="52">
        <f t="shared" si="10"/>
        <v>0</v>
      </c>
      <c r="AZ18" s="53">
        <f t="shared" si="10"/>
        <v>0</v>
      </c>
      <c r="BA18" s="51">
        <f t="shared" si="10"/>
        <v>0</v>
      </c>
      <c r="BB18" s="52">
        <f t="shared" si="10"/>
        <v>0</v>
      </c>
      <c r="BC18" s="53">
        <f t="shared" si="10"/>
        <v>0</v>
      </c>
      <c r="BD18" s="51">
        <f t="shared" si="10"/>
        <v>0</v>
      </c>
      <c r="BE18" s="52">
        <f t="shared" si="10"/>
        <v>0</v>
      </c>
      <c r="BF18" s="53">
        <f t="shared" si="10"/>
        <v>0</v>
      </c>
      <c r="BG18" s="51">
        <f t="shared" si="10"/>
        <v>0</v>
      </c>
      <c r="BH18" s="52">
        <f t="shared" si="10"/>
        <v>0</v>
      </c>
      <c r="BI18" s="53">
        <f t="shared" si="10"/>
        <v>0</v>
      </c>
      <c r="BJ18" s="51">
        <f t="shared" si="10"/>
        <v>0</v>
      </c>
      <c r="BK18" s="52">
        <f t="shared" si="10"/>
        <v>0</v>
      </c>
      <c r="BL18" s="53">
        <f t="shared" si="11"/>
        <v>0</v>
      </c>
      <c r="BM18" s="51">
        <f t="shared" si="11"/>
        <v>0</v>
      </c>
      <c r="BN18" s="52">
        <f t="shared" si="11"/>
        <v>0</v>
      </c>
      <c r="BO18" s="53">
        <f t="shared" si="11"/>
        <v>0</v>
      </c>
      <c r="BP18" s="51">
        <f t="shared" si="11"/>
        <v>0</v>
      </c>
      <c r="BQ18" s="52">
        <f t="shared" si="11"/>
        <v>0</v>
      </c>
      <c r="BR18" s="53">
        <f t="shared" si="11"/>
        <v>0</v>
      </c>
      <c r="BS18" s="51">
        <f t="shared" si="11"/>
        <v>0</v>
      </c>
      <c r="BT18" s="52">
        <f t="shared" si="11"/>
        <v>0</v>
      </c>
      <c r="BU18" s="53">
        <f t="shared" si="11"/>
        <v>0</v>
      </c>
      <c r="BV18" s="51">
        <f t="shared" si="11"/>
        <v>0</v>
      </c>
      <c r="BW18" s="52">
        <f t="shared" si="11"/>
        <v>0</v>
      </c>
      <c r="BX18" s="53">
        <f t="shared" si="12"/>
        <v>0</v>
      </c>
      <c r="BY18" s="51">
        <f t="shared" si="12"/>
        <v>0</v>
      </c>
      <c r="BZ18" s="52">
        <f t="shared" si="12"/>
        <v>0</v>
      </c>
      <c r="CA18" s="53">
        <f t="shared" si="12"/>
        <v>0</v>
      </c>
      <c r="CB18" s="51">
        <f t="shared" si="12"/>
        <v>0</v>
      </c>
      <c r="CC18" s="52">
        <f t="shared" si="12"/>
        <v>0</v>
      </c>
      <c r="CD18" s="53">
        <f t="shared" si="12"/>
        <v>0</v>
      </c>
      <c r="CE18" s="51">
        <f t="shared" si="12"/>
        <v>0</v>
      </c>
      <c r="CF18" s="52">
        <f t="shared" si="12"/>
        <v>0</v>
      </c>
      <c r="CG18" s="53">
        <f t="shared" si="12"/>
        <v>0</v>
      </c>
      <c r="CH18" s="51">
        <f t="shared" si="12"/>
        <v>0</v>
      </c>
      <c r="CI18" s="52">
        <f t="shared" si="12"/>
        <v>0</v>
      </c>
      <c r="CJ18" s="40"/>
      <c r="CK18" s="54">
        <f t="shared" si="13"/>
        <v>0</v>
      </c>
      <c r="CL18" s="54">
        <f t="shared" si="14"/>
        <v>0</v>
      </c>
      <c r="CM18" s="54">
        <f t="shared" si="15"/>
        <v>0</v>
      </c>
      <c r="CN18" s="54">
        <f t="shared" si="16"/>
        <v>0</v>
      </c>
      <c r="CO18" s="54">
        <f t="shared" si="17"/>
        <v>0</v>
      </c>
      <c r="CP18" s="54">
        <f t="shared" si="18"/>
        <v>0</v>
      </c>
      <c r="CQ18" s="54">
        <f t="shared" si="19"/>
        <v>765000</v>
      </c>
      <c r="CR18" s="54">
        <f t="shared" si="20"/>
        <v>0</v>
      </c>
      <c r="CS18" s="55">
        <f t="shared" si="26"/>
        <v>0</v>
      </c>
      <c r="CT18" s="55">
        <f t="shared" si="21"/>
        <v>0</v>
      </c>
      <c r="CU18" s="55">
        <f t="shared" si="21"/>
        <v>0</v>
      </c>
      <c r="CV18" s="55">
        <f t="shared" si="21"/>
        <v>0</v>
      </c>
      <c r="CW18" s="55">
        <f t="shared" si="21"/>
        <v>0</v>
      </c>
      <c r="CX18" s="55">
        <f t="shared" si="21"/>
        <v>0</v>
      </c>
      <c r="CY18" s="55">
        <f t="shared" si="21"/>
        <v>0</v>
      </c>
      <c r="CZ18" s="55">
        <f t="shared" si="21"/>
        <v>0</v>
      </c>
      <c r="DA18" s="55">
        <f t="shared" si="21"/>
        <v>0</v>
      </c>
      <c r="DB18" s="55">
        <f t="shared" si="21"/>
        <v>0</v>
      </c>
      <c r="DC18" s="55">
        <f t="shared" si="21"/>
        <v>0</v>
      </c>
      <c r="DD18" s="55">
        <f t="shared" si="21"/>
        <v>0</v>
      </c>
      <c r="DE18" s="55">
        <f t="shared" si="21"/>
        <v>0</v>
      </c>
      <c r="DF18" s="55">
        <f t="shared" si="21"/>
        <v>0</v>
      </c>
      <c r="DG18" s="55">
        <f t="shared" si="21"/>
        <v>0</v>
      </c>
      <c r="DH18" s="55">
        <f t="shared" si="21"/>
        <v>0</v>
      </c>
      <c r="DI18" s="40"/>
      <c r="DJ18" s="54">
        <f t="shared" si="22"/>
        <v>0</v>
      </c>
      <c r="DK18" s="56">
        <f t="shared" si="22"/>
        <v>765000</v>
      </c>
      <c r="DL18" s="57">
        <f t="shared" si="22"/>
        <v>0</v>
      </c>
      <c r="DM18" s="57">
        <f t="shared" si="22"/>
        <v>0</v>
      </c>
      <c r="DN18" s="57">
        <f t="shared" si="22"/>
        <v>0</v>
      </c>
      <c r="DO18" s="58">
        <f t="shared" si="22"/>
        <v>0</v>
      </c>
    </row>
    <row r="19" spans="1:119" ht="14.45">
      <c r="A19" s="23">
        <f t="shared" si="23"/>
        <v>13</v>
      </c>
      <c r="B19" s="23" t="s">
        <v>165</v>
      </c>
      <c r="C19" s="23">
        <v>40000</v>
      </c>
      <c r="D19" s="23" t="s">
        <v>166</v>
      </c>
      <c r="E19" s="44" t="s">
        <v>165</v>
      </c>
      <c r="F19" s="45" t="str">
        <f t="shared" si="24"/>
        <v>4800</v>
      </c>
      <c r="G19" s="23" t="s">
        <v>167</v>
      </c>
      <c r="H19" s="45" t="str">
        <f t="shared" si="7"/>
        <v>M9000</v>
      </c>
      <c r="I19" s="23" t="s">
        <v>172</v>
      </c>
      <c r="J19" s="23" t="s">
        <v>180</v>
      </c>
      <c r="K19" s="46" t="s">
        <v>183</v>
      </c>
      <c r="L19" s="47">
        <v>46204</v>
      </c>
      <c r="M19" s="48">
        <v>120000</v>
      </c>
      <c r="N19" s="49">
        <v>120</v>
      </c>
      <c r="O19" s="50">
        <f t="shared" si="25"/>
        <v>49827</v>
      </c>
      <c r="P19" s="51">
        <f t="shared" si="8"/>
        <v>0</v>
      </c>
      <c r="Q19" s="51">
        <f t="shared" si="8"/>
        <v>0</v>
      </c>
      <c r="R19" s="52">
        <f t="shared" si="8"/>
        <v>0</v>
      </c>
      <c r="S19" s="53">
        <f t="shared" si="8"/>
        <v>0</v>
      </c>
      <c r="T19" s="51">
        <f t="shared" si="8"/>
        <v>0</v>
      </c>
      <c r="U19" s="52">
        <f t="shared" si="8"/>
        <v>0</v>
      </c>
      <c r="V19" s="53">
        <f t="shared" si="8"/>
        <v>0</v>
      </c>
      <c r="W19" s="51">
        <f t="shared" si="8"/>
        <v>0</v>
      </c>
      <c r="X19" s="52">
        <f t="shared" si="8"/>
        <v>0</v>
      </c>
      <c r="Y19" s="53">
        <f t="shared" si="8"/>
        <v>0</v>
      </c>
      <c r="Z19" s="51">
        <f t="shared" si="8"/>
        <v>0</v>
      </c>
      <c r="AA19" s="52">
        <f t="shared" si="8"/>
        <v>0</v>
      </c>
      <c r="AB19" s="53">
        <f t="shared" si="8"/>
        <v>0</v>
      </c>
      <c r="AC19" s="51">
        <f t="shared" si="8"/>
        <v>0</v>
      </c>
      <c r="AD19" s="52">
        <f t="shared" si="8"/>
        <v>0</v>
      </c>
      <c r="AE19" s="53">
        <f t="shared" si="8"/>
        <v>0</v>
      </c>
      <c r="AF19" s="51">
        <f t="shared" si="9"/>
        <v>0</v>
      </c>
      <c r="AG19" s="52">
        <f t="shared" si="9"/>
        <v>0</v>
      </c>
      <c r="AH19" s="53">
        <f t="shared" si="9"/>
        <v>120000</v>
      </c>
      <c r="AI19" s="51">
        <f t="shared" si="9"/>
        <v>0</v>
      </c>
      <c r="AJ19" s="52">
        <f t="shared" si="9"/>
        <v>0</v>
      </c>
      <c r="AK19" s="53">
        <f t="shared" si="9"/>
        <v>0</v>
      </c>
      <c r="AL19" s="51">
        <f t="shared" si="9"/>
        <v>0</v>
      </c>
      <c r="AM19" s="52">
        <f t="shared" si="9"/>
        <v>0</v>
      </c>
      <c r="AN19" s="53">
        <f t="shared" si="9"/>
        <v>0</v>
      </c>
      <c r="AO19" s="51">
        <f t="shared" si="9"/>
        <v>0</v>
      </c>
      <c r="AP19" s="52">
        <f t="shared" si="9"/>
        <v>0</v>
      </c>
      <c r="AQ19" s="53">
        <f t="shared" si="9"/>
        <v>0</v>
      </c>
      <c r="AR19" s="51">
        <f t="shared" si="9"/>
        <v>0</v>
      </c>
      <c r="AS19" s="52">
        <f t="shared" si="9"/>
        <v>0</v>
      </c>
      <c r="AT19" s="53">
        <f t="shared" si="9"/>
        <v>0</v>
      </c>
      <c r="AU19" s="51">
        <f t="shared" si="9"/>
        <v>0</v>
      </c>
      <c r="AV19" s="52">
        <f t="shared" si="10"/>
        <v>0</v>
      </c>
      <c r="AW19" s="53">
        <f t="shared" si="10"/>
        <v>0</v>
      </c>
      <c r="AX19" s="51">
        <f t="shared" si="10"/>
        <v>0</v>
      </c>
      <c r="AY19" s="52">
        <f t="shared" si="10"/>
        <v>0</v>
      </c>
      <c r="AZ19" s="53">
        <f t="shared" si="10"/>
        <v>0</v>
      </c>
      <c r="BA19" s="51">
        <f t="shared" si="10"/>
        <v>0</v>
      </c>
      <c r="BB19" s="52">
        <f t="shared" si="10"/>
        <v>0</v>
      </c>
      <c r="BC19" s="53">
        <f t="shared" si="10"/>
        <v>0</v>
      </c>
      <c r="BD19" s="51">
        <f t="shared" si="10"/>
        <v>0</v>
      </c>
      <c r="BE19" s="52">
        <f t="shared" si="10"/>
        <v>0</v>
      </c>
      <c r="BF19" s="53">
        <f t="shared" si="10"/>
        <v>0</v>
      </c>
      <c r="BG19" s="51">
        <f t="shared" si="10"/>
        <v>0</v>
      </c>
      <c r="BH19" s="52">
        <f t="shared" si="10"/>
        <v>0</v>
      </c>
      <c r="BI19" s="53">
        <f t="shared" si="10"/>
        <v>0</v>
      </c>
      <c r="BJ19" s="51">
        <f t="shared" si="10"/>
        <v>0</v>
      </c>
      <c r="BK19" s="52">
        <f t="shared" si="10"/>
        <v>0</v>
      </c>
      <c r="BL19" s="53">
        <f t="shared" si="11"/>
        <v>0</v>
      </c>
      <c r="BM19" s="51">
        <f t="shared" si="11"/>
        <v>0</v>
      </c>
      <c r="BN19" s="52">
        <f t="shared" si="11"/>
        <v>0</v>
      </c>
      <c r="BO19" s="53">
        <f t="shared" si="11"/>
        <v>0</v>
      </c>
      <c r="BP19" s="51">
        <f t="shared" si="11"/>
        <v>0</v>
      </c>
      <c r="BQ19" s="52">
        <f t="shared" si="11"/>
        <v>0</v>
      </c>
      <c r="BR19" s="53">
        <f t="shared" si="11"/>
        <v>0</v>
      </c>
      <c r="BS19" s="51">
        <f t="shared" si="11"/>
        <v>0</v>
      </c>
      <c r="BT19" s="52">
        <f t="shared" si="11"/>
        <v>0</v>
      </c>
      <c r="BU19" s="53">
        <f t="shared" si="11"/>
        <v>0</v>
      </c>
      <c r="BV19" s="51">
        <f t="shared" si="11"/>
        <v>0</v>
      </c>
      <c r="BW19" s="52">
        <f t="shared" si="11"/>
        <v>0</v>
      </c>
      <c r="BX19" s="53">
        <f t="shared" si="12"/>
        <v>0</v>
      </c>
      <c r="BY19" s="51">
        <f t="shared" si="12"/>
        <v>0</v>
      </c>
      <c r="BZ19" s="52">
        <f t="shared" si="12"/>
        <v>0</v>
      </c>
      <c r="CA19" s="53">
        <f t="shared" si="12"/>
        <v>0</v>
      </c>
      <c r="CB19" s="51">
        <f t="shared" si="12"/>
        <v>0</v>
      </c>
      <c r="CC19" s="52">
        <f t="shared" si="12"/>
        <v>0</v>
      </c>
      <c r="CD19" s="53">
        <f t="shared" si="12"/>
        <v>0</v>
      </c>
      <c r="CE19" s="51">
        <f t="shared" si="12"/>
        <v>0</v>
      </c>
      <c r="CF19" s="52">
        <f t="shared" si="12"/>
        <v>0</v>
      </c>
      <c r="CG19" s="53">
        <f t="shared" si="12"/>
        <v>0</v>
      </c>
      <c r="CH19" s="51">
        <f t="shared" si="12"/>
        <v>0</v>
      </c>
      <c r="CI19" s="52">
        <f t="shared" si="12"/>
        <v>0</v>
      </c>
      <c r="CJ19" s="40"/>
      <c r="CK19" s="54">
        <f t="shared" si="13"/>
        <v>0</v>
      </c>
      <c r="CL19" s="54">
        <f t="shared" si="14"/>
        <v>0</v>
      </c>
      <c r="CM19" s="54">
        <f t="shared" si="15"/>
        <v>0</v>
      </c>
      <c r="CN19" s="54">
        <f t="shared" si="16"/>
        <v>0</v>
      </c>
      <c r="CO19" s="54">
        <f t="shared" si="17"/>
        <v>0</v>
      </c>
      <c r="CP19" s="54">
        <f t="shared" si="18"/>
        <v>0</v>
      </c>
      <c r="CQ19" s="54">
        <f t="shared" si="19"/>
        <v>120000</v>
      </c>
      <c r="CR19" s="54">
        <f t="shared" si="20"/>
        <v>0</v>
      </c>
      <c r="CS19" s="55">
        <f t="shared" si="26"/>
        <v>0</v>
      </c>
      <c r="CT19" s="55">
        <f t="shared" si="21"/>
        <v>0</v>
      </c>
      <c r="CU19" s="55">
        <f t="shared" si="21"/>
        <v>0</v>
      </c>
      <c r="CV19" s="55">
        <f t="shared" si="21"/>
        <v>0</v>
      </c>
      <c r="CW19" s="55">
        <f t="shared" si="21"/>
        <v>0</v>
      </c>
      <c r="CX19" s="55">
        <f t="shared" si="21"/>
        <v>0</v>
      </c>
      <c r="CY19" s="55">
        <f t="shared" si="21"/>
        <v>0</v>
      </c>
      <c r="CZ19" s="55">
        <f t="shared" si="21"/>
        <v>0</v>
      </c>
      <c r="DA19" s="55">
        <f t="shared" si="21"/>
        <v>0</v>
      </c>
      <c r="DB19" s="55">
        <f t="shared" si="21"/>
        <v>0</v>
      </c>
      <c r="DC19" s="55">
        <f t="shared" si="21"/>
        <v>0</v>
      </c>
      <c r="DD19" s="55">
        <f t="shared" si="21"/>
        <v>0</v>
      </c>
      <c r="DE19" s="55">
        <f t="shared" si="21"/>
        <v>0</v>
      </c>
      <c r="DF19" s="55">
        <f t="shared" si="21"/>
        <v>0</v>
      </c>
      <c r="DG19" s="55">
        <f t="shared" si="21"/>
        <v>0</v>
      </c>
      <c r="DH19" s="55">
        <f t="shared" si="21"/>
        <v>0</v>
      </c>
      <c r="DI19" s="40"/>
      <c r="DJ19" s="54">
        <f t="shared" si="22"/>
        <v>0</v>
      </c>
      <c r="DK19" s="56">
        <f t="shared" si="22"/>
        <v>120000</v>
      </c>
      <c r="DL19" s="57">
        <f t="shared" si="22"/>
        <v>0</v>
      </c>
      <c r="DM19" s="57">
        <f t="shared" si="22"/>
        <v>0</v>
      </c>
      <c r="DN19" s="57">
        <f t="shared" si="22"/>
        <v>0</v>
      </c>
      <c r="DO19" s="58">
        <f t="shared" si="22"/>
        <v>0</v>
      </c>
    </row>
    <row r="20" spans="1:119" s="100" customFormat="1" ht="14.45">
      <c r="A20" s="100">
        <f t="shared" si="23"/>
        <v>14</v>
      </c>
      <c r="B20" s="100" t="s">
        <v>165</v>
      </c>
      <c r="C20" s="100">
        <v>40000</v>
      </c>
      <c r="D20" s="100" t="s">
        <v>166</v>
      </c>
      <c r="E20" s="101" t="s">
        <v>165</v>
      </c>
      <c r="F20" s="102" t="str">
        <f t="shared" si="24"/>
        <v>4000</v>
      </c>
      <c r="G20" s="100" t="s">
        <v>184</v>
      </c>
      <c r="H20" s="102" t="str">
        <f t="shared" si="7"/>
        <v>M2000</v>
      </c>
      <c r="I20" s="100" t="s">
        <v>185</v>
      </c>
      <c r="K20" s="103" t="s">
        <v>186</v>
      </c>
      <c r="L20" s="104">
        <v>46054</v>
      </c>
      <c r="M20" s="105">
        <v>50000</v>
      </c>
      <c r="N20" s="106">
        <v>60</v>
      </c>
      <c r="O20" s="107">
        <f t="shared" si="25"/>
        <v>47849</v>
      </c>
      <c r="P20" s="108">
        <f t="shared" si="8"/>
        <v>0</v>
      </c>
      <c r="Q20" s="108">
        <f t="shared" si="8"/>
        <v>0</v>
      </c>
      <c r="R20" s="109">
        <f t="shared" si="8"/>
        <v>0</v>
      </c>
      <c r="S20" s="110">
        <f t="shared" si="8"/>
        <v>0</v>
      </c>
      <c r="T20" s="108">
        <f t="shared" si="8"/>
        <v>0</v>
      </c>
      <c r="U20" s="109">
        <f t="shared" si="8"/>
        <v>0</v>
      </c>
      <c r="V20" s="110">
        <f t="shared" si="8"/>
        <v>0</v>
      </c>
      <c r="W20" s="108">
        <f t="shared" si="8"/>
        <v>0</v>
      </c>
      <c r="X20" s="109">
        <f t="shared" si="8"/>
        <v>0</v>
      </c>
      <c r="Y20" s="110">
        <f t="shared" si="8"/>
        <v>0</v>
      </c>
      <c r="Z20" s="108">
        <f t="shared" si="8"/>
        <v>0</v>
      </c>
      <c r="AA20" s="109">
        <f t="shared" si="8"/>
        <v>0</v>
      </c>
      <c r="AB20" s="110">
        <f t="shared" si="8"/>
        <v>0</v>
      </c>
      <c r="AC20" s="108">
        <f t="shared" si="8"/>
        <v>50000</v>
      </c>
      <c r="AD20" s="109">
        <f t="shared" si="8"/>
        <v>0</v>
      </c>
      <c r="AE20" s="110">
        <f t="shared" si="8"/>
        <v>0</v>
      </c>
      <c r="AF20" s="108">
        <f t="shared" si="9"/>
        <v>0</v>
      </c>
      <c r="AG20" s="109">
        <f t="shared" si="9"/>
        <v>0</v>
      </c>
      <c r="AH20" s="110">
        <f t="shared" si="9"/>
        <v>0</v>
      </c>
      <c r="AI20" s="108">
        <f t="shared" si="9"/>
        <v>0</v>
      </c>
      <c r="AJ20" s="109">
        <f t="shared" si="9"/>
        <v>0</v>
      </c>
      <c r="AK20" s="110">
        <f t="shared" si="9"/>
        <v>0</v>
      </c>
      <c r="AL20" s="108">
        <f t="shared" si="9"/>
        <v>0</v>
      </c>
      <c r="AM20" s="109">
        <f t="shared" si="9"/>
        <v>0</v>
      </c>
      <c r="AN20" s="110">
        <f t="shared" si="9"/>
        <v>0</v>
      </c>
      <c r="AO20" s="108">
        <f t="shared" si="9"/>
        <v>0</v>
      </c>
      <c r="AP20" s="109">
        <f t="shared" si="9"/>
        <v>0</v>
      </c>
      <c r="AQ20" s="110">
        <f t="shared" si="9"/>
        <v>0</v>
      </c>
      <c r="AR20" s="108">
        <f t="shared" si="9"/>
        <v>0</v>
      </c>
      <c r="AS20" s="109">
        <f t="shared" si="9"/>
        <v>0</v>
      </c>
      <c r="AT20" s="110">
        <f t="shared" si="9"/>
        <v>0</v>
      </c>
      <c r="AU20" s="108">
        <f t="shared" si="9"/>
        <v>0</v>
      </c>
      <c r="AV20" s="109">
        <f t="shared" si="10"/>
        <v>0</v>
      </c>
      <c r="AW20" s="110">
        <f t="shared" si="10"/>
        <v>0</v>
      </c>
      <c r="AX20" s="108">
        <f t="shared" si="10"/>
        <v>0</v>
      </c>
      <c r="AY20" s="109">
        <f t="shared" si="10"/>
        <v>0</v>
      </c>
      <c r="AZ20" s="110">
        <f t="shared" si="10"/>
        <v>0</v>
      </c>
      <c r="BA20" s="108">
        <f t="shared" si="10"/>
        <v>0</v>
      </c>
      <c r="BB20" s="109">
        <f t="shared" si="10"/>
        <v>0</v>
      </c>
      <c r="BC20" s="110">
        <f t="shared" si="10"/>
        <v>0</v>
      </c>
      <c r="BD20" s="108">
        <f t="shared" si="10"/>
        <v>0</v>
      </c>
      <c r="BE20" s="109">
        <f t="shared" si="10"/>
        <v>0</v>
      </c>
      <c r="BF20" s="110">
        <f t="shared" si="10"/>
        <v>0</v>
      </c>
      <c r="BG20" s="108">
        <f t="shared" si="10"/>
        <v>0</v>
      </c>
      <c r="BH20" s="109">
        <f t="shared" si="10"/>
        <v>0</v>
      </c>
      <c r="BI20" s="110">
        <f t="shared" si="10"/>
        <v>0</v>
      </c>
      <c r="BJ20" s="108">
        <f t="shared" si="10"/>
        <v>0</v>
      </c>
      <c r="BK20" s="109">
        <f t="shared" si="10"/>
        <v>0</v>
      </c>
      <c r="BL20" s="110">
        <f t="shared" si="11"/>
        <v>0</v>
      </c>
      <c r="BM20" s="108">
        <f t="shared" si="11"/>
        <v>0</v>
      </c>
      <c r="BN20" s="109">
        <f t="shared" si="11"/>
        <v>0</v>
      </c>
      <c r="BO20" s="110">
        <f t="shared" si="11"/>
        <v>0</v>
      </c>
      <c r="BP20" s="108">
        <f t="shared" si="11"/>
        <v>0</v>
      </c>
      <c r="BQ20" s="109">
        <f t="shared" si="11"/>
        <v>0</v>
      </c>
      <c r="BR20" s="110">
        <f t="shared" si="11"/>
        <v>0</v>
      </c>
      <c r="BS20" s="108">
        <f t="shared" si="11"/>
        <v>0</v>
      </c>
      <c r="BT20" s="109">
        <f t="shared" si="11"/>
        <v>0</v>
      </c>
      <c r="BU20" s="110">
        <f t="shared" si="11"/>
        <v>0</v>
      </c>
      <c r="BV20" s="108">
        <f t="shared" si="11"/>
        <v>0</v>
      </c>
      <c r="BW20" s="109">
        <f t="shared" si="11"/>
        <v>0</v>
      </c>
      <c r="BX20" s="110">
        <f t="shared" si="12"/>
        <v>0</v>
      </c>
      <c r="BY20" s="108">
        <f t="shared" si="12"/>
        <v>0</v>
      </c>
      <c r="BZ20" s="109">
        <f t="shared" si="12"/>
        <v>0</v>
      </c>
      <c r="CA20" s="110">
        <f t="shared" si="12"/>
        <v>0</v>
      </c>
      <c r="CB20" s="108">
        <f t="shared" si="12"/>
        <v>0</v>
      </c>
      <c r="CC20" s="109">
        <f t="shared" si="12"/>
        <v>0</v>
      </c>
      <c r="CD20" s="110">
        <f t="shared" si="12"/>
        <v>0</v>
      </c>
      <c r="CE20" s="108">
        <f t="shared" si="12"/>
        <v>0</v>
      </c>
      <c r="CF20" s="109">
        <f t="shared" si="12"/>
        <v>0</v>
      </c>
      <c r="CG20" s="110">
        <f t="shared" si="12"/>
        <v>0</v>
      </c>
      <c r="CH20" s="108">
        <f t="shared" si="12"/>
        <v>0</v>
      </c>
      <c r="CI20" s="109">
        <f t="shared" si="12"/>
        <v>0</v>
      </c>
      <c r="CJ20" s="111"/>
      <c r="CK20" s="112">
        <f t="shared" si="13"/>
        <v>0</v>
      </c>
      <c r="CL20" s="112">
        <f t="shared" si="14"/>
        <v>0</v>
      </c>
      <c r="CM20" s="112">
        <f t="shared" si="15"/>
        <v>0</v>
      </c>
      <c r="CN20" s="112">
        <f t="shared" si="16"/>
        <v>0</v>
      </c>
      <c r="CO20" s="112">
        <f t="shared" si="17"/>
        <v>50000</v>
      </c>
      <c r="CP20" s="112">
        <f t="shared" si="18"/>
        <v>0</v>
      </c>
      <c r="CQ20" s="112">
        <f t="shared" si="19"/>
        <v>0</v>
      </c>
      <c r="CR20" s="112">
        <f t="shared" si="20"/>
        <v>0</v>
      </c>
      <c r="CS20" s="114">
        <f t="shared" si="26"/>
        <v>0</v>
      </c>
      <c r="CT20" s="114">
        <f t="shared" si="21"/>
        <v>0</v>
      </c>
      <c r="CU20" s="114">
        <f t="shared" si="21"/>
        <v>0</v>
      </c>
      <c r="CV20" s="114">
        <f t="shared" si="21"/>
        <v>0</v>
      </c>
      <c r="CW20" s="114">
        <f t="shared" si="21"/>
        <v>0</v>
      </c>
      <c r="CX20" s="114">
        <f t="shared" si="21"/>
        <v>0</v>
      </c>
      <c r="CY20" s="114">
        <f t="shared" si="21"/>
        <v>0</v>
      </c>
      <c r="CZ20" s="114">
        <f t="shared" si="21"/>
        <v>0</v>
      </c>
      <c r="DA20" s="114">
        <f t="shared" si="21"/>
        <v>0</v>
      </c>
      <c r="DB20" s="114">
        <f t="shared" si="21"/>
        <v>0</v>
      </c>
      <c r="DC20" s="114">
        <f t="shared" si="21"/>
        <v>0</v>
      </c>
      <c r="DD20" s="114">
        <f t="shared" si="21"/>
        <v>0</v>
      </c>
      <c r="DE20" s="114">
        <f t="shared" si="21"/>
        <v>0</v>
      </c>
      <c r="DF20" s="114">
        <f t="shared" si="21"/>
        <v>0</v>
      </c>
      <c r="DG20" s="114">
        <f t="shared" si="21"/>
        <v>0</v>
      </c>
      <c r="DH20" s="114">
        <f t="shared" si="21"/>
        <v>0</v>
      </c>
      <c r="DI20" s="111"/>
      <c r="DJ20" s="112">
        <f t="shared" si="22"/>
        <v>0</v>
      </c>
      <c r="DK20" s="115">
        <f t="shared" si="22"/>
        <v>50000</v>
      </c>
      <c r="DL20" s="116">
        <f t="shared" si="22"/>
        <v>0</v>
      </c>
      <c r="DM20" s="116">
        <f t="shared" si="22"/>
        <v>0</v>
      </c>
      <c r="DN20" s="116">
        <f t="shared" si="22"/>
        <v>0</v>
      </c>
      <c r="DO20" s="117">
        <f t="shared" si="22"/>
        <v>0</v>
      </c>
    </row>
    <row r="21" spans="1:119" s="100" customFormat="1" ht="14.45">
      <c r="A21" s="100">
        <f t="shared" si="23"/>
        <v>15</v>
      </c>
      <c r="B21" s="100" t="s">
        <v>165</v>
      </c>
      <c r="C21" s="100">
        <v>40000</v>
      </c>
      <c r="D21" s="100" t="s">
        <v>166</v>
      </c>
      <c r="E21" s="101" t="s">
        <v>165</v>
      </c>
      <c r="F21" s="102" t="str">
        <f t="shared" si="24"/>
        <v>4000</v>
      </c>
      <c r="G21" s="100" t="s">
        <v>184</v>
      </c>
      <c r="H21" s="102" t="str">
        <f t="shared" si="7"/>
        <v>M2000</v>
      </c>
      <c r="I21" s="100" t="s">
        <v>185</v>
      </c>
      <c r="K21" s="103" t="s">
        <v>187</v>
      </c>
      <c r="L21" s="104">
        <v>46054</v>
      </c>
      <c r="M21" s="105">
        <v>100000</v>
      </c>
      <c r="N21" s="106">
        <v>60</v>
      </c>
      <c r="O21" s="107">
        <f t="shared" si="25"/>
        <v>47849</v>
      </c>
      <c r="P21" s="108">
        <f t="shared" si="8"/>
        <v>0</v>
      </c>
      <c r="Q21" s="108">
        <f t="shared" si="8"/>
        <v>0</v>
      </c>
      <c r="R21" s="109">
        <f t="shared" si="8"/>
        <v>0</v>
      </c>
      <c r="S21" s="110">
        <f t="shared" si="8"/>
        <v>0</v>
      </c>
      <c r="T21" s="108">
        <f t="shared" si="8"/>
        <v>0</v>
      </c>
      <c r="U21" s="109">
        <f t="shared" si="8"/>
        <v>0</v>
      </c>
      <c r="V21" s="110">
        <f t="shared" si="8"/>
        <v>0</v>
      </c>
      <c r="W21" s="108">
        <f t="shared" si="8"/>
        <v>0</v>
      </c>
      <c r="X21" s="109">
        <f t="shared" si="8"/>
        <v>0</v>
      </c>
      <c r="Y21" s="110">
        <f t="shared" si="8"/>
        <v>0</v>
      </c>
      <c r="Z21" s="108">
        <f t="shared" si="8"/>
        <v>0</v>
      </c>
      <c r="AA21" s="109">
        <f t="shared" si="8"/>
        <v>0</v>
      </c>
      <c r="AB21" s="110">
        <f t="shared" si="8"/>
        <v>0</v>
      </c>
      <c r="AC21" s="108">
        <f t="shared" si="8"/>
        <v>100000</v>
      </c>
      <c r="AD21" s="109">
        <f t="shared" si="8"/>
        <v>0</v>
      </c>
      <c r="AE21" s="110">
        <f t="shared" si="8"/>
        <v>0</v>
      </c>
      <c r="AF21" s="108">
        <f t="shared" si="9"/>
        <v>0</v>
      </c>
      <c r="AG21" s="109">
        <f t="shared" si="9"/>
        <v>0</v>
      </c>
      <c r="AH21" s="110">
        <f t="shared" si="9"/>
        <v>0</v>
      </c>
      <c r="AI21" s="108">
        <f t="shared" si="9"/>
        <v>0</v>
      </c>
      <c r="AJ21" s="109">
        <f t="shared" si="9"/>
        <v>0</v>
      </c>
      <c r="AK21" s="110">
        <f t="shared" si="9"/>
        <v>0</v>
      </c>
      <c r="AL21" s="108">
        <f t="shared" si="9"/>
        <v>0</v>
      </c>
      <c r="AM21" s="109">
        <f t="shared" si="9"/>
        <v>0</v>
      </c>
      <c r="AN21" s="110">
        <f t="shared" si="9"/>
        <v>0</v>
      </c>
      <c r="AO21" s="108">
        <f t="shared" si="9"/>
        <v>0</v>
      </c>
      <c r="AP21" s="109">
        <f t="shared" si="9"/>
        <v>0</v>
      </c>
      <c r="AQ21" s="110">
        <f t="shared" si="9"/>
        <v>0</v>
      </c>
      <c r="AR21" s="108">
        <f t="shared" si="9"/>
        <v>0</v>
      </c>
      <c r="AS21" s="109">
        <f t="shared" si="9"/>
        <v>0</v>
      </c>
      <c r="AT21" s="110">
        <f t="shared" si="9"/>
        <v>0</v>
      </c>
      <c r="AU21" s="108">
        <f t="shared" si="9"/>
        <v>0</v>
      </c>
      <c r="AV21" s="109">
        <f t="shared" si="10"/>
        <v>0</v>
      </c>
      <c r="AW21" s="110">
        <f t="shared" si="10"/>
        <v>0</v>
      </c>
      <c r="AX21" s="108">
        <f t="shared" si="10"/>
        <v>0</v>
      </c>
      <c r="AY21" s="109">
        <f t="shared" si="10"/>
        <v>0</v>
      </c>
      <c r="AZ21" s="110">
        <f t="shared" si="10"/>
        <v>0</v>
      </c>
      <c r="BA21" s="108">
        <f t="shared" si="10"/>
        <v>0</v>
      </c>
      <c r="BB21" s="109">
        <f t="shared" si="10"/>
        <v>0</v>
      </c>
      <c r="BC21" s="110">
        <f t="shared" si="10"/>
        <v>0</v>
      </c>
      <c r="BD21" s="108">
        <f t="shared" si="10"/>
        <v>0</v>
      </c>
      <c r="BE21" s="109">
        <f t="shared" si="10"/>
        <v>0</v>
      </c>
      <c r="BF21" s="110">
        <f t="shared" si="10"/>
        <v>0</v>
      </c>
      <c r="BG21" s="108">
        <f t="shared" si="10"/>
        <v>0</v>
      </c>
      <c r="BH21" s="109">
        <f t="shared" si="10"/>
        <v>0</v>
      </c>
      <c r="BI21" s="110">
        <f t="shared" si="10"/>
        <v>0</v>
      </c>
      <c r="BJ21" s="108">
        <f t="shared" si="10"/>
        <v>0</v>
      </c>
      <c r="BK21" s="109">
        <f t="shared" si="10"/>
        <v>0</v>
      </c>
      <c r="BL21" s="110">
        <f t="shared" si="11"/>
        <v>0</v>
      </c>
      <c r="BM21" s="108">
        <f t="shared" si="11"/>
        <v>0</v>
      </c>
      <c r="BN21" s="109">
        <f t="shared" si="11"/>
        <v>0</v>
      </c>
      <c r="BO21" s="110">
        <f t="shared" si="11"/>
        <v>0</v>
      </c>
      <c r="BP21" s="108">
        <f t="shared" si="11"/>
        <v>0</v>
      </c>
      <c r="BQ21" s="109">
        <f t="shared" si="11"/>
        <v>0</v>
      </c>
      <c r="BR21" s="110">
        <f t="shared" si="11"/>
        <v>0</v>
      </c>
      <c r="BS21" s="108">
        <f t="shared" si="11"/>
        <v>0</v>
      </c>
      <c r="BT21" s="109">
        <f t="shared" si="11"/>
        <v>0</v>
      </c>
      <c r="BU21" s="110">
        <f t="shared" si="11"/>
        <v>0</v>
      </c>
      <c r="BV21" s="108">
        <f t="shared" si="11"/>
        <v>0</v>
      </c>
      <c r="BW21" s="109">
        <f t="shared" si="11"/>
        <v>0</v>
      </c>
      <c r="BX21" s="110">
        <f t="shared" si="12"/>
        <v>0</v>
      </c>
      <c r="BY21" s="108">
        <f t="shared" si="12"/>
        <v>0</v>
      </c>
      <c r="BZ21" s="109">
        <f t="shared" si="12"/>
        <v>0</v>
      </c>
      <c r="CA21" s="110">
        <f t="shared" si="12"/>
        <v>0</v>
      </c>
      <c r="CB21" s="108">
        <f t="shared" si="12"/>
        <v>0</v>
      </c>
      <c r="CC21" s="109">
        <f t="shared" si="12"/>
        <v>0</v>
      </c>
      <c r="CD21" s="110">
        <f t="shared" si="12"/>
        <v>0</v>
      </c>
      <c r="CE21" s="108">
        <f t="shared" si="12"/>
        <v>0</v>
      </c>
      <c r="CF21" s="109">
        <f t="shared" si="12"/>
        <v>0</v>
      </c>
      <c r="CG21" s="110">
        <f t="shared" si="12"/>
        <v>0</v>
      </c>
      <c r="CH21" s="108">
        <f t="shared" si="12"/>
        <v>0</v>
      </c>
      <c r="CI21" s="109">
        <f t="shared" si="12"/>
        <v>0</v>
      </c>
      <c r="CJ21" s="111"/>
      <c r="CK21" s="112">
        <f t="shared" si="13"/>
        <v>0</v>
      </c>
      <c r="CL21" s="112">
        <f t="shared" si="14"/>
        <v>0</v>
      </c>
      <c r="CM21" s="112">
        <f t="shared" si="15"/>
        <v>0</v>
      </c>
      <c r="CN21" s="112">
        <f t="shared" si="16"/>
        <v>0</v>
      </c>
      <c r="CO21" s="112">
        <f t="shared" si="17"/>
        <v>100000</v>
      </c>
      <c r="CP21" s="112">
        <f t="shared" si="18"/>
        <v>0</v>
      </c>
      <c r="CQ21" s="112">
        <f t="shared" si="19"/>
        <v>0</v>
      </c>
      <c r="CR21" s="112">
        <f t="shared" si="20"/>
        <v>0</v>
      </c>
      <c r="CS21" s="114">
        <f t="shared" si="26"/>
        <v>0</v>
      </c>
      <c r="CT21" s="114">
        <f t="shared" si="21"/>
        <v>0</v>
      </c>
      <c r="CU21" s="114">
        <f t="shared" si="21"/>
        <v>0</v>
      </c>
      <c r="CV21" s="114">
        <f t="shared" si="21"/>
        <v>0</v>
      </c>
      <c r="CW21" s="114">
        <f t="shared" si="21"/>
        <v>0</v>
      </c>
      <c r="CX21" s="114">
        <f t="shared" si="21"/>
        <v>0</v>
      </c>
      <c r="CY21" s="114">
        <f t="shared" si="21"/>
        <v>0</v>
      </c>
      <c r="CZ21" s="114">
        <f t="shared" si="21"/>
        <v>0</v>
      </c>
      <c r="DA21" s="114">
        <f t="shared" si="21"/>
        <v>0</v>
      </c>
      <c r="DB21" s="114">
        <f t="shared" si="21"/>
        <v>0</v>
      </c>
      <c r="DC21" s="114">
        <f t="shared" si="21"/>
        <v>0</v>
      </c>
      <c r="DD21" s="114">
        <f t="shared" si="21"/>
        <v>0</v>
      </c>
      <c r="DE21" s="114">
        <f t="shared" si="21"/>
        <v>0</v>
      </c>
      <c r="DF21" s="114">
        <f t="shared" si="21"/>
        <v>0</v>
      </c>
      <c r="DG21" s="114">
        <f t="shared" si="21"/>
        <v>0</v>
      </c>
      <c r="DH21" s="114">
        <f t="shared" si="21"/>
        <v>0</v>
      </c>
      <c r="DI21" s="111"/>
      <c r="DJ21" s="112">
        <f t="shared" si="22"/>
        <v>0</v>
      </c>
      <c r="DK21" s="115">
        <f t="shared" si="22"/>
        <v>100000</v>
      </c>
      <c r="DL21" s="116">
        <f t="shared" si="22"/>
        <v>0</v>
      </c>
      <c r="DM21" s="116">
        <f t="shared" si="22"/>
        <v>0</v>
      </c>
      <c r="DN21" s="116">
        <f t="shared" si="22"/>
        <v>0</v>
      </c>
      <c r="DO21" s="117">
        <f t="shared" si="22"/>
        <v>0</v>
      </c>
    </row>
    <row r="22" spans="1:119" s="100" customFormat="1" ht="14.45">
      <c r="A22" s="100">
        <f t="shared" si="23"/>
        <v>16</v>
      </c>
      <c r="B22" s="100" t="s">
        <v>165</v>
      </c>
      <c r="C22" s="100">
        <v>40000</v>
      </c>
      <c r="D22" s="100" t="s">
        <v>166</v>
      </c>
      <c r="E22" s="101" t="s">
        <v>165</v>
      </c>
      <c r="F22" s="102" t="str">
        <f t="shared" si="24"/>
        <v>4700</v>
      </c>
      <c r="G22" s="100" t="s">
        <v>188</v>
      </c>
      <c r="H22" s="102" t="str">
        <f t="shared" si="7"/>
        <v>M9000</v>
      </c>
      <c r="I22" s="100" t="s">
        <v>172</v>
      </c>
      <c r="K22" s="103" t="s">
        <v>189</v>
      </c>
      <c r="L22" s="104">
        <v>46143</v>
      </c>
      <c r="M22" s="105">
        <v>150000</v>
      </c>
      <c r="N22" s="106">
        <v>120</v>
      </c>
      <c r="O22" s="107">
        <f t="shared" si="25"/>
        <v>49766</v>
      </c>
      <c r="P22" s="108">
        <f t="shared" si="8"/>
        <v>0</v>
      </c>
      <c r="Q22" s="108">
        <f t="shared" si="8"/>
        <v>0</v>
      </c>
      <c r="R22" s="109">
        <f t="shared" si="8"/>
        <v>0</v>
      </c>
      <c r="S22" s="110">
        <f t="shared" si="8"/>
        <v>0</v>
      </c>
      <c r="T22" s="108">
        <f t="shared" si="8"/>
        <v>0</v>
      </c>
      <c r="U22" s="109">
        <f t="shared" si="8"/>
        <v>0</v>
      </c>
      <c r="V22" s="110">
        <f t="shared" si="8"/>
        <v>0</v>
      </c>
      <c r="W22" s="108">
        <f t="shared" si="8"/>
        <v>0</v>
      </c>
      <c r="X22" s="109">
        <f t="shared" si="8"/>
        <v>0</v>
      </c>
      <c r="Y22" s="110">
        <f t="shared" si="8"/>
        <v>0</v>
      </c>
      <c r="Z22" s="108">
        <f t="shared" si="8"/>
        <v>0</v>
      </c>
      <c r="AA22" s="109">
        <f t="shared" si="8"/>
        <v>0</v>
      </c>
      <c r="AB22" s="110">
        <f t="shared" si="8"/>
        <v>0</v>
      </c>
      <c r="AC22" s="108">
        <f t="shared" si="8"/>
        <v>0</v>
      </c>
      <c r="AD22" s="109">
        <f t="shared" si="8"/>
        <v>0</v>
      </c>
      <c r="AE22" s="110">
        <f t="shared" si="8"/>
        <v>0</v>
      </c>
      <c r="AF22" s="108">
        <f t="shared" si="9"/>
        <v>150000</v>
      </c>
      <c r="AG22" s="109">
        <f t="shared" si="9"/>
        <v>0</v>
      </c>
      <c r="AH22" s="110">
        <f t="shared" si="9"/>
        <v>0</v>
      </c>
      <c r="AI22" s="108">
        <f t="shared" si="9"/>
        <v>0</v>
      </c>
      <c r="AJ22" s="109">
        <f t="shared" si="9"/>
        <v>0</v>
      </c>
      <c r="AK22" s="110">
        <f t="shared" si="9"/>
        <v>0</v>
      </c>
      <c r="AL22" s="108">
        <f t="shared" si="9"/>
        <v>0</v>
      </c>
      <c r="AM22" s="109">
        <f t="shared" si="9"/>
        <v>0</v>
      </c>
      <c r="AN22" s="110">
        <f t="shared" si="9"/>
        <v>0</v>
      </c>
      <c r="AO22" s="108">
        <f t="shared" si="9"/>
        <v>0</v>
      </c>
      <c r="AP22" s="109">
        <f t="shared" si="9"/>
        <v>0</v>
      </c>
      <c r="AQ22" s="110">
        <f t="shared" si="9"/>
        <v>0</v>
      </c>
      <c r="AR22" s="108">
        <f t="shared" si="9"/>
        <v>0</v>
      </c>
      <c r="AS22" s="109">
        <f t="shared" si="9"/>
        <v>0</v>
      </c>
      <c r="AT22" s="110">
        <f t="shared" si="9"/>
        <v>0</v>
      </c>
      <c r="AU22" s="108">
        <f t="shared" si="9"/>
        <v>0</v>
      </c>
      <c r="AV22" s="109">
        <f t="shared" si="10"/>
        <v>0</v>
      </c>
      <c r="AW22" s="110">
        <f t="shared" si="10"/>
        <v>0</v>
      </c>
      <c r="AX22" s="108">
        <f t="shared" si="10"/>
        <v>0</v>
      </c>
      <c r="AY22" s="109">
        <f t="shared" si="10"/>
        <v>0</v>
      </c>
      <c r="AZ22" s="110">
        <f t="shared" si="10"/>
        <v>0</v>
      </c>
      <c r="BA22" s="108">
        <f t="shared" si="10"/>
        <v>0</v>
      </c>
      <c r="BB22" s="109">
        <f t="shared" si="10"/>
        <v>0</v>
      </c>
      <c r="BC22" s="110">
        <f t="shared" si="10"/>
        <v>0</v>
      </c>
      <c r="BD22" s="108">
        <f t="shared" si="10"/>
        <v>0</v>
      </c>
      <c r="BE22" s="109">
        <f t="shared" si="10"/>
        <v>0</v>
      </c>
      <c r="BF22" s="110">
        <f t="shared" si="10"/>
        <v>0</v>
      </c>
      <c r="BG22" s="108">
        <f t="shared" si="10"/>
        <v>0</v>
      </c>
      <c r="BH22" s="109">
        <f t="shared" si="10"/>
        <v>0</v>
      </c>
      <c r="BI22" s="110">
        <f t="shared" si="10"/>
        <v>0</v>
      </c>
      <c r="BJ22" s="108">
        <f t="shared" si="10"/>
        <v>0</v>
      </c>
      <c r="BK22" s="109">
        <f t="shared" si="10"/>
        <v>0</v>
      </c>
      <c r="BL22" s="110">
        <f t="shared" si="11"/>
        <v>0</v>
      </c>
      <c r="BM22" s="108">
        <f t="shared" si="11"/>
        <v>0</v>
      </c>
      <c r="BN22" s="109">
        <f t="shared" si="11"/>
        <v>0</v>
      </c>
      <c r="BO22" s="110">
        <f t="shared" si="11"/>
        <v>0</v>
      </c>
      <c r="BP22" s="108">
        <f t="shared" si="11"/>
        <v>0</v>
      </c>
      <c r="BQ22" s="109">
        <f t="shared" si="11"/>
        <v>0</v>
      </c>
      <c r="BR22" s="110">
        <f t="shared" si="11"/>
        <v>0</v>
      </c>
      <c r="BS22" s="108">
        <f t="shared" si="11"/>
        <v>0</v>
      </c>
      <c r="BT22" s="109">
        <f t="shared" si="11"/>
        <v>0</v>
      </c>
      <c r="BU22" s="110">
        <f t="shared" si="11"/>
        <v>0</v>
      </c>
      <c r="BV22" s="108">
        <f t="shared" si="11"/>
        <v>0</v>
      </c>
      <c r="BW22" s="109">
        <f t="shared" si="11"/>
        <v>0</v>
      </c>
      <c r="BX22" s="110">
        <f t="shared" si="12"/>
        <v>0</v>
      </c>
      <c r="BY22" s="108">
        <f t="shared" si="12"/>
        <v>0</v>
      </c>
      <c r="BZ22" s="109">
        <f t="shared" si="12"/>
        <v>0</v>
      </c>
      <c r="CA22" s="110">
        <f t="shared" si="12"/>
        <v>0</v>
      </c>
      <c r="CB22" s="108">
        <f t="shared" si="12"/>
        <v>0</v>
      </c>
      <c r="CC22" s="109">
        <f t="shared" si="12"/>
        <v>0</v>
      </c>
      <c r="CD22" s="110">
        <f t="shared" si="12"/>
        <v>0</v>
      </c>
      <c r="CE22" s="108">
        <f t="shared" si="12"/>
        <v>0</v>
      </c>
      <c r="CF22" s="109">
        <f t="shared" si="12"/>
        <v>0</v>
      </c>
      <c r="CG22" s="110">
        <f t="shared" si="12"/>
        <v>0</v>
      </c>
      <c r="CH22" s="108">
        <f t="shared" si="12"/>
        <v>0</v>
      </c>
      <c r="CI22" s="109">
        <f t="shared" si="12"/>
        <v>0</v>
      </c>
      <c r="CJ22" s="111"/>
      <c r="CK22" s="112">
        <f t="shared" si="13"/>
        <v>0</v>
      </c>
      <c r="CL22" s="112">
        <f t="shared" si="14"/>
        <v>0</v>
      </c>
      <c r="CM22" s="112">
        <f t="shared" si="15"/>
        <v>0</v>
      </c>
      <c r="CN22" s="112">
        <f t="shared" si="16"/>
        <v>0</v>
      </c>
      <c r="CO22" s="112">
        <f t="shared" si="17"/>
        <v>0</v>
      </c>
      <c r="CP22" s="112">
        <f t="shared" si="18"/>
        <v>150000</v>
      </c>
      <c r="CQ22" s="112">
        <f t="shared" si="19"/>
        <v>0</v>
      </c>
      <c r="CR22" s="112">
        <f t="shared" si="20"/>
        <v>0</v>
      </c>
      <c r="CS22" s="114">
        <f t="shared" si="26"/>
        <v>0</v>
      </c>
      <c r="CT22" s="114">
        <f t="shared" si="21"/>
        <v>0</v>
      </c>
      <c r="CU22" s="114">
        <f t="shared" si="21"/>
        <v>0</v>
      </c>
      <c r="CV22" s="114">
        <f t="shared" si="21"/>
        <v>0</v>
      </c>
      <c r="CW22" s="114">
        <f t="shared" si="21"/>
        <v>0</v>
      </c>
      <c r="CX22" s="114">
        <f t="shared" si="21"/>
        <v>0</v>
      </c>
      <c r="CY22" s="114">
        <f t="shared" si="21"/>
        <v>0</v>
      </c>
      <c r="CZ22" s="114">
        <f t="shared" si="21"/>
        <v>0</v>
      </c>
      <c r="DA22" s="114">
        <f t="shared" si="21"/>
        <v>0</v>
      </c>
      <c r="DB22" s="114">
        <f t="shared" si="21"/>
        <v>0</v>
      </c>
      <c r="DC22" s="114">
        <f t="shared" si="21"/>
        <v>0</v>
      </c>
      <c r="DD22" s="114">
        <f t="shared" si="21"/>
        <v>0</v>
      </c>
      <c r="DE22" s="114">
        <f t="shared" si="21"/>
        <v>0</v>
      </c>
      <c r="DF22" s="114">
        <f t="shared" si="21"/>
        <v>0</v>
      </c>
      <c r="DG22" s="114">
        <f t="shared" si="21"/>
        <v>0</v>
      </c>
      <c r="DH22" s="114">
        <f t="shared" si="21"/>
        <v>0</v>
      </c>
      <c r="DI22" s="111"/>
      <c r="DJ22" s="112">
        <f t="shared" si="22"/>
        <v>0</v>
      </c>
      <c r="DK22" s="115">
        <f t="shared" si="22"/>
        <v>150000</v>
      </c>
      <c r="DL22" s="116">
        <f t="shared" si="22"/>
        <v>0</v>
      </c>
      <c r="DM22" s="116">
        <f t="shared" si="22"/>
        <v>0</v>
      </c>
      <c r="DN22" s="116">
        <f t="shared" si="22"/>
        <v>0</v>
      </c>
      <c r="DO22" s="117">
        <f t="shared" si="22"/>
        <v>0</v>
      </c>
    </row>
    <row r="23" spans="1:119" ht="14.45">
      <c r="A23" s="23">
        <f t="shared" si="23"/>
        <v>17</v>
      </c>
      <c r="B23" s="23" t="s">
        <v>165</v>
      </c>
      <c r="C23" s="23">
        <v>40000</v>
      </c>
      <c r="D23" s="23" t="s">
        <v>166</v>
      </c>
      <c r="E23" s="44" t="s">
        <v>165</v>
      </c>
      <c r="F23" s="45" t="str">
        <f t="shared" si="24"/>
        <v>4000</v>
      </c>
      <c r="G23" s="23" t="s">
        <v>184</v>
      </c>
      <c r="H23" s="45" t="str">
        <f t="shared" si="7"/>
        <v>I0006</v>
      </c>
      <c r="I23" s="23" t="s">
        <v>190</v>
      </c>
      <c r="J23" s="118" t="s">
        <v>6</v>
      </c>
      <c r="K23" s="46" t="s">
        <v>191</v>
      </c>
      <c r="L23" s="47">
        <v>46113</v>
      </c>
      <c r="M23" s="48">
        <v>303000</v>
      </c>
      <c r="N23" s="49">
        <v>120</v>
      </c>
      <c r="O23" s="50">
        <f t="shared" si="25"/>
        <v>49735</v>
      </c>
      <c r="P23" s="51">
        <f t="shared" si="8"/>
        <v>0</v>
      </c>
      <c r="Q23" s="51">
        <f t="shared" si="8"/>
        <v>0</v>
      </c>
      <c r="R23" s="52">
        <f t="shared" si="8"/>
        <v>0</v>
      </c>
      <c r="S23" s="53">
        <f t="shared" si="8"/>
        <v>0</v>
      </c>
      <c r="T23" s="51">
        <f t="shared" si="8"/>
        <v>0</v>
      </c>
      <c r="U23" s="52">
        <f t="shared" si="8"/>
        <v>0</v>
      </c>
      <c r="V23" s="53">
        <f t="shared" si="8"/>
        <v>0</v>
      </c>
      <c r="W23" s="51">
        <f t="shared" si="8"/>
        <v>0</v>
      </c>
      <c r="X23" s="52">
        <f t="shared" si="8"/>
        <v>0</v>
      </c>
      <c r="Y23" s="53">
        <f t="shared" si="8"/>
        <v>0</v>
      </c>
      <c r="Z23" s="51">
        <f t="shared" si="8"/>
        <v>0</v>
      </c>
      <c r="AA23" s="52">
        <f t="shared" si="8"/>
        <v>0</v>
      </c>
      <c r="AB23" s="53">
        <f t="shared" si="8"/>
        <v>0</v>
      </c>
      <c r="AC23" s="51">
        <f t="shared" si="8"/>
        <v>0</v>
      </c>
      <c r="AD23" s="52">
        <f t="shared" si="8"/>
        <v>0</v>
      </c>
      <c r="AE23" s="53">
        <f t="shared" ref="AE23:AT38" si="27">IF($L23=AE$6,$M23,0)</f>
        <v>303000</v>
      </c>
      <c r="AF23" s="51">
        <f t="shared" si="27"/>
        <v>0</v>
      </c>
      <c r="AG23" s="52">
        <f t="shared" si="27"/>
        <v>0</v>
      </c>
      <c r="AH23" s="53">
        <f t="shared" si="27"/>
        <v>0</v>
      </c>
      <c r="AI23" s="51">
        <f t="shared" si="27"/>
        <v>0</v>
      </c>
      <c r="AJ23" s="52">
        <f t="shared" si="9"/>
        <v>0</v>
      </c>
      <c r="AK23" s="53">
        <f t="shared" si="9"/>
        <v>0</v>
      </c>
      <c r="AL23" s="51">
        <f t="shared" si="9"/>
        <v>0</v>
      </c>
      <c r="AM23" s="52">
        <f t="shared" si="9"/>
        <v>0</v>
      </c>
      <c r="AN23" s="53">
        <f t="shared" si="9"/>
        <v>0</v>
      </c>
      <c r="AO23" s="51">
        <f t="shared" si="9"/>
        <v>0</v>
      </c>
      <c r="AP23" s="52">
        <f t="shared" si="9"/>
        <v>0</v>
      </c>
      <c r="AQ23" s="53">
        <f t="shared" si="9"/>
        <v>0</v>
      </c>
      <c r="AR23" s="51">
        <f t="shared" si="9"/>
        <v>0</v>
      </c>
      <c r="AS23" s="52">
        <f t="shared" si="9"/>
        <v>0</v>
      </c>
      <c r="AT23" s="53">
        <f t="shared" si="9"/>
        <v>0</v>
      </c>
      <c r="AU23" s="51">
        <f t="shared" si="9"/>
        <v>0</v>
      </c>
      <c r="AV23" s="52">
        <f t="shared" si="10"/>
        <v>0</v>
      </c>
      <c r="AW23" s="53">
        <f t="shared" si="10"/>
        <v>0</v>
      </c>
      <c r="AX23" s="51">
        <f t="shared" si="10"/>
        <v>0</v>
      </c>
      <c r="AY23" s="52">
        <f t="shared" si="10"/>
        <v>0</v>
      </c>
      <c r="AZ23" s="53">
        <f t="shared" si="10"/>
        <v>0</v>
      </c>
      <c r="BA23" s="51">
        <f t="shared" si="10"/>
        <v>0</v>
      </c>
      <c r="BB23" s="52">
        <f t="shared" si="10"/>
        <v>0</v>
      </c>
      <c r="BC23" s="53">
        <f t="shared" si="10"/>
        <v>0</v>
      </c>
      <c r="BD23" s="51">
        <f t="shared" si="10"/>
        <v>0</v>
      </c>
      <c r="BE23" s="52">
        <f t="shared" si="10"/>
        <v>0</v>
      </c>
      <c r="BF23" s="53">
        <f t="shared" si="10"/>
        <v>0</v>
      </c>
      <c r="BG23" s="51">
        <f t="shared" si="10"/>
        <v>0</v>
      </c>
      <c r="BH23" s="52">
        <f t="shared" si="10"/>
        <v>0</v>
      </c>
      <c r="BI23" s="53">
        <f t="shared" si="10"/>
        <v>0</v>
      </c>
      <c r="BJ23" s="51">
        <f t="shared" si="10"/>
        <v>0</v>
      </c>
      <c r="BK23" s="52">
        <f t="shared" ref="BK23:BZ38" si="28">IF($L23=BK$6,$M23,0)</f>
        <v>0</v>
      </c>
      <c r="BL23" s="53">
        <f t="shared" si="28"/>
        <v>0</v>
      </c>
      <c r="BM23" s="51">
        <f t="shared" si="28"/>
        <v>0</v>
      </c>
      <c r="BN23" s="52">
        <f t="shared" si="11"/>
        <v>0</v>
      </c>
      <c r="BO23" s="53">
        <f t="shared" si="11"/>
        <v>0</v>
      </c>
      <c r="BP23" s="51">
        <f t="shared" si="11"/>
        <v>0</v>
      </c>
      <c r="BQ23" s="52">
        <f t="shared" si="11"/>
        <v>0</v>
      </c>
      <c r="BR23" s="53">
        <f t="shared" si="11"/>
        <v>0</v>
      </c>
      <c r="BS23" s="51">
        <f t="shared" si="11"/>
        <v>0</v>
      </c>
      <c r="BT23" s="52">
        <f t="shared" si="11"/>
        <v>0</v>
      </c>
      <c r="BU23" s="53">
        <f t="shared" si="11"/>
        <v>0</v>
      </c>
      <c r="BV23" s="51">
        <f t="shared" si="11"/>
        <v>0</v>
      </c>
      <c r="BW23" s="52">
        <f t="shared" si="11"/>
        <v>0</v>
      </c>
      <c r="BX23" s="53">
        <f t="shared" si="12"/>
        <v>0</v>
      </c>
      <c r="BY23" s="51">
        <f t="shared" si="12"/>
        <v>0</v>
      </c>
      <c r="BZ23" s="52">
        <f t="shared" si="12"/>
        <v>0</v>
      </c>
      <c r="CA23" s="53">
        <f t="shared" si="12"/>
        <v>0</v>
      </c>
      <c r="CB23" s="51">
        <f t="shared" si="12"/>
        <v>0</v>
      </c>
      <c r="CC23" s="52">
        <f t="shared" si="12"/>
        <v>0</v>
      </c>
      <c r="CD23" s="53">
        <f t="shared" si="12"/>
        <v>0</v>
      </c>
      <c r="CE23" s="51">
        <f t="shared" si="12"/>
        <v>0</v>
      </c>
      <c r="CF23" s="52">
        <f t="shared" si="12"/>
        <v>0</v>
      </c>
      <c r="CG23" s="53">
        <f t="shared" si="12"/>
        <v>0</v>
      </c>
      <c r="CH23" s="51">
        <f t="shared" si="12"/>
        <v>0</v>
      </c>
      <c r="CI23" s="52">
        <f t="shared" si="12"/>
        <v>0</v>
      </c>
      <c r="CJ23" s="40"/>
      <c r="CK23" s="54">
        <f t="shared" si="13"/>
        <v>0</v>
      </c>
      <c r="CL23" s="54">
        <f t="shared" si="14"/>
        <v>0</v>
      </c>
      <c r="CM23" s="54">
        <f t="shared" si="15"/>
        <v>0</v>
      </c>
      <c r="CN23" s="54">
        <f t="shared" si="16"/>
        <v>0</v>
      </c>
      <c r="CO23" s="54">
        <f t="shared" si="17"/>
        <v>0</v>
      </c>
      <c r="CP23" s="54">
        <f t="shared" si="18"/>
        <v>303000</v>
      </c>
      <c r="CQ23" s="54">
        <f t="shared" si="19"/>
        <v>0</v>
      </c>
      <c r="CR23" s="54">
        <f t="shared" si="20"/>
        <v>0</v>
      </c>
      <c r="CS23" s="55">
        <f t="shared" si="26"/>
        <v>0</v>
      </c>
      <c r="CT23" s="55">
        <f t="shared" si="21"/>
        <v>0</v>
      </c>
      <c r="CU23" s="55">
        <f t="shared" si="21"/>
        <v>0</v>
      </c>
      <c r="CV23" s="55">
        <f t="shared" si="21"/>
        <v>0</v>
      </c>
      <c r="CW23" s="55">
        <f t="shared" si="21"/>
        <v>0</v>
      </c>
      <c r="CX23" s="55">
        <f t="shared" si="21"/>
        <v>0</v>
      </c>
      <c r="CY23" s="55">
        <f t="shared" si="21"/>
        <v>0</v>
      </c>
      <c r="CZ23" s="55">
        <f t="shared" si="21"/>
        <v>0</v>
      </c>
      <c r="DA23" s="55">
        <f t="shared" si="21"/>
        <v>0</v>
      </c>
      <c r="DB23" s="55">
        <f t="shared" si="21"/>
        <v>0</v>
      </c>
      <c r="DC23" s="55">
        <f t="shared" si="21"/>
        <v>0</v>
      </c>
      <c r="DD23" s="55">
        <f t="shared" si="21"/>
        <v>0</v>
      </c>
      <c r="DE23" s="55">
        <f t="shared" si="21"/>
        <v>0</v>
      </c>
      <c r="DF23" s="55">
        <f t="shared" si="21"/>
        <v>0</v>
      </c>
      <c r="DG23" s="55">
        <f t="shared" si="21"/>
        <v>0</v>
      </c>
      <c r="DH23" s="55">
        <f t="shared" si="21"/>
        <v>0</v>
      </c>
      <c r="DI23" s="40"/>
      <c r="DJ23" s="54">
        <f t="shared" si="22"/>
        <v>0</v>
      </c>
      <c r="DK23" s="56">
        <f t="shared" si="22"/>
        <v>303000</v>
      </c>
      <c r="DL23" s="57">
        <f t="shared" si="22"/>
        <v>0</v>
      </c>
      <c r="DM23" s="57">
        <f t="shared" si="22"/>
        <v>0</v>
      </c>
      <c r="DN23" s="57">
        <f t="shared" si="22"/>
        <v>0</v>
      </c>
      <c r="DO23" s="58">
        <f t="shared" si="22"/>
        <v>0</v>
      </c>
    </row>
    <row r="24" spans="1:119" s="100" customFormat="1" ht="14.45">
      <c r="A24" s="100">
        <f t="shared" si="23"/>
        <v>18</v>
      </c>
      <c r="B24" s="100" t="s">
        <v>165</v>
      </c>
      <c r="C24" s="100">
        <v>40000</v>
      </c>
      <c r="D24" s="100" t="s">
        <v>166</v>
      </c>
      <c r="E24" s="101" t="s">
        <v>165</v>
      </c>
      <c r="F24" s="102" t="str">
        <f t="shared" si="24"/>
        <v>4000</v>
      </c>
      <c r="G24" s="100" t="s">
        <v>184</v>
      </c>
      <c r="H24" s="102" t="str">
        <f t="shared" si="7"/>
        <v>I0002</v>
      </c>
      <c r="I24" s="100" t="s">
        <v>192</v>
      </c>
      <c r="K24" s="103" t="s">
        <v>193</v>
      </c>
      <c r="L24" s="104">
        <v>46113</v>
      </c>
      <c r="M24" s="105">
        <v>124000</v>
      </c>
      <c r="N24" s="106">
        <v>120</v>
      </c>
      <c r="O24" s="107">
        <f t="shared" si="25"/>
        <v>49735</v>
      </c>
      <c r="P24" s="108">
        <f t="shared" ref="P24:AE39" si="29">IF($L24=P$6,$M24,0)</f>
        <v>0</v>
      </c>
      <c r="Q24" s="108">
        <f t="shared" si="29"/>
        <v>0</v>
      </c>
      <c r="R24" s="109">
        <f t="shared" si="29"/>
        <v>0</v>
      </c>
      <c r="S24" s="110">
        <f t="shared" si="29"/>
        <v>0</v>
      </c>
      <c r="T24" s="108">
        <f t="shared" si="29"/>
        <v>0</v>
      </c>
      <c r="U24" s="109">
        <f t="shared" si="29"/>
        <v>0</v>
      </c>
      <c r="V24" s="110">
        <f t="shared" si="29"/>
        <v>0</v>
      </c>
      <c r="W24" s="108">
        <f t="shared" si="29"/>
        <v>0</v>
      </c>
      <c r="X24" s="109">
        <f t="shared" si="29"/>
        <v>0</v>
      </c>
      <c r="Y24" s="110">
        <f t="shared" si="29"/>
        <v>0</v>
      </c>
      <c r="Z24" s="108">
        <f t="shared" si="29"/>
        <v>0</v>
      </c>
      <c r="AA24" s="109">
        <f t="shared" si="29"/>
        <v>0</v>
      </c>
      <c r="AB24" s="110">
        <f t="shared" si="29"/>
        <v>0</v>
      </c>
      <c r="AC24" s="108">
        <f t="shared" si="29"/>
        <v>0</v>
      </c>
      <c r="AD24" s="109">
        <f t="shared" si="29"/>
        <v>0</v>
      </c>
      <c r="AE24" s="110">
        <f t="shared" si="29"/>
        <v>124000</v>
      </c>
      <c r="AF24" s="108">
        <f t="shared" si="27"/>
        <v>0</v>
      </c>
      <c r="AG24" s="109">
        <f t="shared" si="27"/>
        <v>0</v>
      </c>
      <c r="AH24" s="110">
        <f t="shared" si="27"/>
        <v>0</v>
      </c>
      <c r="AI24" s="108">
        <f t="shared" si="27"/>
        <v>0</v>
      </c>
      <c r="AJ24" s="109">
        <f t="shared" si="27"/>
        <v>0</v>
      </c>
      <c r="AK24" s="110">
        <f t="shared" si="27"/>
        <v>0</v>
      </c>
      <c r="AL24" s="108">
        <f t="shared" si="27"/>
        <v>0</v>
      </c>
      <c r="AM24" s="109">
        <f t="shared" si="27"/>
        <v>0</v>
      </c>
      <c r="AN24" s="110">
        <f t="shared" si="27"/>
        <v>0</v>
      </c>
      <c r="AO24" s="108">
        <f t="shared" si="27"/>
        <v>0</v>
      </c>
      <c r="AP24" s="109">
        <f t="shared" si="27"/>
        <v>0</v>
      </c>
      <c r="AQ24" s="110">
        <f t="shared" si="27"/>
        <v>0</v>
      </c>
      <c r="AR24" s="108">
        <f t="shared" si="27"/>
        <v>0</v>
      </c>
      <c r="AS24" s="109">
        <f t="shared" si="27"/>
        <v>0</v>
      </c>
      <c r="AT24" s="110">
        <f t="shared" si="27"/>
        <v>0</v>
      </c>
      <c r="AU24" s="108">
        <f t="shared" ref="AU24:BJ39" si="30">IF($L24=AU$6,$M24,0)</f>
        <v>0</v>
      </c>
      <c r="AV24" s="109">
        <f t="shared" si="30"/>
        <v>0</v>
      </c>
      <c r="AW24" s="110">
        <f t="shared" si="30"/>
        <v>0</v>
      </c>
      <c r="AX24" s="108">
        <f t="shared" si="30"/>
        <v>0</v>
      </c>
      <c r="AY24" s="109">
        <f t="shared" si="30"/>
        <v>0</v>
      </c>
      <c r="AZ24" s="110">
        <f t="shared" si="30"/>
        <v>0</v>
      </c>
      <c r="BA24" s="108">
        <f t="shared" si="30"/>
        <v>0</v>
      </c>
      <c r="BB24" s="109">
        <f t="shared" si="30"/>
        <v>0</v>
      </c>
      <c r="BC24" s="110">
        <f t="shared" si="30"/>
        <v>0</v>
      </c>
      <c r="BD24" s="108">
        <f t="shared" si="30"/>
        <v>0</v>
      </c>
      <c r="BE24" s="109">
        <f t="shared" si="30"/>
        <v>0</v>
      </c>
      <c r="BF24" s="110">
        <f t="shared" si="30"/>
        <v>0</v>
      </c>
      <c r="BG24" s="108">
        <f t="shared" si="30"/>
        <v>0</v>
      </c>
      <c r="BH24" s="109">
        <f t="shared" si="30"/>
        <v>0</v>
      </c>
      <c r="BI24" s="110">
        <f t="shared" si="30"/>
        <v>0</v>
      </c>
      <c r="BJ24" s="108">
        <f t="shared" si="30"/>
        <v>0</v>
      </c>
      <c r="BK24" s="109">
        <f t="shared" si="28"/>
        <v>0</v>
      </c>
      <c r="BL24" s="110">
        <f t="shared" si="28"/>
        <v>0</v>
      </c>
      <c r="BM24" s="108">
        <f t="shared" si="28"/>
        <v>0</v>
      </c>
      <c r="BN24" s="109">
        <f t="shared" si="28"/>
        <v>0</v>
      </c>
      <c r="BO24" s="110">
        <f t="shared" si="28"/>
        <v>0</v>
      </c>
      <c r="BP24" s="108">
        <f t="shared" si="28"/>
        <v>0</v>
      </c>
      <c r="BQ24" s="109">
        <f t="shared" si="28"/>
        <v>0</v>
      </c>
      <c r="BR24" s="110">
        <f t="shared" si="28"/>
        <v>0</v>
      </c>
      <c r="BS24" s="108">
        <f t="shared" si="28"/>
        <v>0</v>
      </c>
      <c r="BT24" s="109">
        <f t="shared" si="28"/>
        <v>0</v>
      </c>
      <c r="BU24" s="110">
        <f t="shared" si="28"/>
        <v>0</v>
      </c>
      <c r="BV24" s="108">
        <f t="shared" si="28"/>
        <v>0</v>
      </c>
      <c r="BW24" s="109">
        <f t="shared" si="28"/>
        <v>0</v>
      </c>
      <c r="BX24" s="110">
        <f t="shared" si="28"/>
        <v>0</v>
      </c>
      <c r="BY24" s="108">
        <f t="shared" si="28"/>
        <v>0</v>
      </c>
      <c r="BZ24" s="109">
        <f t="shared" si="28"/>
        <v>0</v>
      </c>
      <c r="CA24" s="110">
        <f t="shared" ref="CA24:CI39" si="31">IF($L24=CA$6,$M24,0)</f>
        <v>0</v>
      </c>
      <c r="CB24" s="108">
        <f t="shared" si="31"/>
        <v>0</v>
      </c>
      <c r="CC24" s="109">
        <f t="shared" si="31"/>
        <v>0</v>
      </c>
      <c r="CD24" s="110">
        <f t="shared" si="31"/>
        <v>0</v>
      </c>
      <c r="CE24" s="108">
        <f t="shared" si="31"/>
        <v>0</v>
      </c>
      <c r="CF24" s="109">
        <f t="shared" si="31"/>
        <v>0</v>
      </c>
      <c r="CG24" s="110">
        <f t="shared" si="31"/>
        <v>0</v>
      </c>
      <c r="CH24" s="108">
        <f t="shared" si="31"/>
        <v>0</v>
      </c>
      <c r="CI24" s="109">
        <f t="shared" si="31"/>
        <v>0</v>
      </c>
      <c r="CJ24" s="111"/>
      <c r="CK24" s="112">
        <f t="shared" si="13"/>
        <v>0</v>
      </c>
      <c r="CL24" s="112">
        <f t="shared" si="14"/>
        <v>0</v>
      </c>
      <c r="CM24" s="112">
        <f t="shared" si="15"/>
        <v>0</v>
      </c>
      <c r="CN24" s="112">
        <f t="shared" si="16"/>
        <v>0</v>
      </c>
      <c r="CO24" s="112">
        <f t="shared" si="17"/>
        <v>0</v>
      </c>
      <c r="CP24" s="112">
        <f t="shared" si="18"/>
        <v>124000</v>
      </c>
      <c r="CQ24" s="112">
        <f t="shared" si="19"/>
        <v>0</v>
      </c>
      <c r="CR24" s="112">
        <f t="shared" si="20"/>
        <v>0</v>
      </c>
      <c r="CS24" s="114">
        <f t="shared" si="26"/>
        <v>0</v>
      </c>
      <c r="CT24" s="114">
        <f t="shared" si="26"/>
        <v>0</v>
      </c>
      <c r="CU24" s="114">
        <f t="shared" si="26"/>
        <v>0</v>
      </c>
      <c r="CV24" s="114">
        <f t="shared" si="26"/>
        <v>0</v>
      </c>
      <c r="CW24" s="114">
        <f t="shared" si="26"/>
        <v>0</v>
      </c>
      <c r="CX24" s="114">
        <f t="shared" si="26"/>
        <v>0</v>
      </c>
      <c r="CY24" s="114">
        <f t="shared" si="26"/>
        <v>0</v>
      </c>
      <c r="CZ24" s="114">
        <f t="shared" si="26"/>
        <v>0</v>
      </c>
      <c r="DA24" s="114">
        <f t="shared" si="26"/>
        <v>0</v>
      </c>
      <c r="DB24" s="114">
        <f t="shared" si="26"/>
        <v>0</v>
      </c>
      <c r="DC24" s="114">
        <f t="shared" si="26"/>
        <v>0</v>
      </c>
      <c r="DD24" s="114">
        <f t="shared" si="26"/>
        <v>0</v>
      </c>
      <c r="DE24" s="114">
        <f t="shared" si="26"/>
        <v>0</v>
      </c>
      <c r="DF24" s="114">
        <f t="shared" si="26"/>
        <v>0</v>
      </c>
      <c r="DG24" s="114">
        <f t="shared" si="26"/>
        <v>0</v>
      </c>
      <c r="DH24" s="114">
        <f t="shared" si="26"/>
        <v>0</v>
      </c>
      <c r="DI24" s="111"/>
      <c r="DJ24" s="112">
        <f t="shared" ref="DJ24:DO45" si="32">SUMIFS($CK24:$DH24,$CK$1:$DH$1,DJ$6)</f>
        <v>0</v>
      </c>
      <c r="DK24" s="115">
        <f t="shared" si="32"/>
        <v>124000</v>
      </c>
      <c r="DL24" s="116">
        <f t="shared" si="32"/>
        <v>0</v>
      </c>
      <c r="DM24" s="116">
        <f t="shared" si="32"/>
        <v>0</v>
      </c>
      <c r="DN24" s="116">
        <f t="shared" si="32"/>
        <v>0</v>
      </c>
      <c r="DO24" s="117">
        <f t="shared" si="32"/>
        <v>0</v>
      </c>
    </row>
    <row r="25" spans="1:119" ht="14.45">
      <c r="A25" s="23">
        <f t="shared" si="23"/>
        <v>19</v>
      </c>
      <c r="B25" s="23" t="s">
        <v>165</v>
      </c>
      <c r="C25" s="23">
        <v>40000</v>
      </c>
      <c r="D25" s="23" t="s">
        <v>166</v>
      </c>
      <c r="E25" s="44" t="s">
        <v>165</v>
      </c>
      <c r="F25" s="45" t="str">
        <f t="shared" si="24"/>
        <v>4400</v>
      </c>
      <c r="G25" s="23" t="s">
        <v>179</v>
      </c>
      <c r="H25" s="45" t="str">
        <f t="shared" si="7"/>
        <v>M9000</v>
      </c>
      <c r="I25" s="23" t="s">
        <v>172</v>
      </c>
      <c r="J25" s="23" t="s">
        <v>5</v>
      </c>
      <c r="K25" s="46" t="s">
        <v>194</v>
      </c>
      <c r="L25" s="47">
        <v>46143</v>
      </c>
      <c r="M25" s="48">
        <v>140000</v>
      </c>
      <c r="N25" s="49">
        <v>120</v>
      </c>
      <c r="O25" s="50">
        <f t="shared" si="25"/>
        <v>49766</v>
      </c>
      <c r="P25" s="51">
        <f t="shared" si="29"/>
        <v>0</v>
      </c>
      <c r="Q25" s="51">
        <f t="shared" si="29"/>
        <v>0</v>
      </c>
      <c r="R25" s="52">
        <f t="shared" si="29"/>
        <v>0</v>
      </c>
      <c r="S25" s="53">
        <f t="shared" si="29"/>
        <v>0</v>
      </c>
      <c r="T25" s="51">
        <f t="shared" si="29"/>
        <v>0</v>
      </c>
      <c r="U25" s="52">
        <f t="shared" si="29"/>
        <v>0</v>
      </c>
      <c r="V25" s="53">
        <f t="shared" si="29"/>
        <v>0</v>
      </c>
      <c r="W25" s="51">
        <f t="shared" si="29"/>
        <v>0</v>
      </c>
      <c r="X25" s="52">
        <f t="shared" si="29"/>
        <v>0</v>
      </c>
      <c r="Y25" s="53">
        <f t="shared" si="29"/>
        <v>0</v>
      </c>
      <c r="Z25" s="51">
        <f t="shared" si="29"/>
        <v>0</v>
      </c>
      <c r="AA25" s="52">
        <f t="shared" si="29"/>
        <v>0</v>
      </c>
      <c r="AB25" s="53">
        <f t="shared" si="29"/>
        <v>0</v>
      </c>
      <c r="AC25" s="51">
        <f t="shared" si="29"/>
        <v>0</v>
      </c>
      <c r="AD25" s="52">
        <f t="shared" si="29"/>
        <v>0</v>
      </c>
      <c r="AE25" s="53">
        <f t="shared" si="29"/>
        <v>0</v>
      </c>
      <c r="AF25" s="51">
        <f t="shared" si="27"/>
        <v>140000</v>
      </c>
      <c r="AG25" s="52">
        <f t="shared" si="27"/>
        <v>0</v>
      </c>
      <c r="AH25" s="53">
        <f t="shared" si="27"/>
        <v>0</v>
      </c>
      <c r="AI25" s="51">
        <f t="shared" si="27"/>
        <v>0</v>
      </c>
      <c r="AJ25" s="52">
        <f t="shared" si="27"/>
        <v>0</v>
      </c>
      <c r="AK25" s="53">
        <f t="shared" si="27"/>
        <v>0</v>
      </c>
      <c r="AL25" s="51">
        <f t="shared" si="27"/>
        <v>0</v>
      </c>
      <c r="AM25" s="52">
        <f t="shared" si="27"/>
        <v>0</v>
      </c>
      <c r="AN25" s="53">
        <f t="shared" si="27"/>
        <v>0</v>
      </c>
      <c r="AO25" s="51">
        <f t="shared" si="27"/>
        <v>0</v>
      </c>
      <c r="AP25" s="52">
        <f t="shared" si="27"/>
        <v>0</v>
      </c>
      <c r="AQ25" s="53">
        <f t="shared" si="27"/>
        <v>0</v>
      </c>
      <c r="AR25" s="51">
        <f t="shared" si="27"/>
        <v>0</v>
      </c>
      <c r="AS25" s="52">
        <f t="shared" si="27"/>
        <v>0</v>
      </c>
      <c r="AT25" s="53">
        <f t="shared" si="27"/>
        <v>0</v>
      </c>
      <c r="AU25" s="51">
        <f t="shared" si="30"/>
        <v>0</v>
      </c>
      <c r="AV25" s="52">
        <f t="shared" si="30"/>
        <v>0</v>
      </c>
      <c r="AW25" s="53">
        <f t="shared" si="30"/>
        <v>0</v>
      </c>
      <c r="AX25" s="51">
        <f t="shared" si="30"/>
        <v>0</v>
      </c>
      <c r="AY25" s="52">
        <f t="shared" si="30"/>
        <v>0</v>
      </c>
      <c r="AZ25" s="53">
        <f t="shared" si="30"/>
        <v>0</v>
      </c>
      <c r="BA25" s="51">
        <f t="shared" si="30"/>
        <v>0</v>
      </c>
      <c r="BB25" s="52">
        <f t="shared" si="30"/>
        <v>0</v>
      </c>
      <c r="BC25" s="53">
        <f t="shared" si="30"/>
        <v>0</v>
      </c>
      <c r="BD25" s="51">
        <f t="shared" si="30"/>
        <v>0</v>
      </c>
      <c r="BE25" s="52">
        <f t="shared" si="30"/>
        <v>0</v>
      </c>
      <c r="BF25" s="53">
        <f t="shared" si="30"/>
        <v>0</v>
      </c>
      <c r="BG25" s="51">
        <f t="shared" si="30"/>
        <v>0</v>
      </c>
      <c r="BH25" s="52">
        <f t="shared" si="30"/>
        <v>0</v>
      </c>
      <c r="BI25" s="53">
        <f t="shared" si="30"/>
        <v>0</v>
      </c>
      <c r="BJ25" s="51">
        <f t="shared" si="30"/>
        <v>0</v>
      </c>
      <c r="BK25" s="52">
        <f t="shared" si="28"/>
        <v>0</v>
      </c>
      <c r="BL25" s="53">
        <f t="shared" si="28"/>
        <v>0</v>
      </c>
      <c r="BM25" s="51">
        <f t="shared" si="28"/>
        <v>0</v>
      </c>
      <c r="BN25" s="52">
        <f t="shared" si="28"/>
        <v>0</v>
      </c>
      <c r="BO25" s="53">
        <f t="shared" si="28"/>
        <v>0</v>
      </c>
      <c r="BP25" s="51">
        <f t="shared" si="28"/>
        <v>0</v>
      </c>
      <c r="BQ25" s="52">
        <f t="shared" si="28"/>
        <v>0</v>
      </c>
      <c r="BR25" s="53">
        <f t="shared" si="28"/>
        <v>0</v>
      </c>
      <c r="BS25" s="51">
        <f t="shared" si="28"/>
        <v>0</v>
      </c>
      <c r="BT25" s="52">
        <f t="shared" si="28"/>
        <v>0</v>
      </c>
      <c r="BU25" s="53">
        <f t="shared" si="28"/>
        <v>0</v>
      </c>
      <c r="BV25" s="51">
        <f t="shared" si="28"/>
        <v>0</v>
      </c>
      <c r="BW25" s="52">
        <f t="shared" si="28"/>
        <v>0</v>
      </c>
      <c r="BX25" s="53">
        <f t="shared" si="28"/>
        <v>0</v>
      </c>
      <c r="BY25" s="51">
        <f t="shared" si="28"/>
        <v>0</v>
      </c>
      <c r="BZ25" s="52">
        <f t="shared" si="28"/>
        <v>0</v>
      </c>
      <c r="CA25" s="53">
        <f t="shared" si="31"/>
        <v>0</v>
      </c>
      <c r="CB25" s="51">
        <f t="shared" si="31"/>
        <v>0</v>
      </c>
      <c r="CC25" s="52">
        <f t="shared" si="31"/>
        <v>0</v>
      </c>
      <c r="CD25" s="53">
        <f t="shared" si="31"/>
        <v>0</v>
      </c>
      <c r="CE25" s="51">
        <f t="shared" si="31"/>
        <v>0</v>
      </c>
      <c r="CF25" s="52">
        <f t="shared" si="31"/>
        <v>0</v>
      </c>
      <c r="CG25" s="53">
        <f t="shared" si="31"/>
        <v>0</v>
      </c>
      <c r="CH25" s="51">
        <f t="shared" si="31"/>
        <v>0</v>
      </c>
      <c r="CI25" s="52">
        <f t="shared" si="31"/>
        <v>0</v>
      </c>
      <c r="CJ25" s="40"/>
      <c r="CK25" s="54">
        <f t="shared" si="13"/>
        <v>0</v>
      </c>
      <c r="CL25" s="54">
        <f t="shared" si="14"/>
        <v>0</v>
      </c>
      <c r="CM25" s="54">
        <f t="shared" si="15"/>
        <v>0</v>
      </c>
      <c r="CN25" s="54">
        <f t="shared" si="16"/>
        <v>0</v>
      </c>
      <c r="CO25" s="54">
        <f t="shared" si="17"/>
        <v>0</v>
      </c>
      <c r="CP25" s="54">
        <f t="shared" si="18"/>
        <v>140000</v>
      </c>
      <c r="CQ25" s="54">
        <f t="shared" si="19"/>
        <v>0</v>
      </c>
      <c r="CR25" s="54">
        <f t="shared" si="20"/>
        <v>0</v>
      </c>
      <c r="CS25" s="55">
        <f t="shared" ref="CS25:DH40" si="33">SUMIFS($P25:$CI25,$P$3:$CI$3,CS$6)</f>
        <v>0</v>
      </c>
      <c r="CT25" s="55">
        <f t="shared" si="33"/>
        <v>0</v>
      </c>
      <c r="CU25" s="55">
        <f t="shared" si="33"/>
        <v>0</v>
      </c>
      <c r="CV25" s="55">
        <f t="shared" si="33"/>
        <v>0</v>
      </c>
      <c r="CW25" s="55">
        <f t="shared" si="33"/>
        <v>0</v>
      </c>
      <c r="CX25" s="55">
        <f t="shared" si="33"/>
        <v>0</v>
      </c>
      <c r="CY25" s="55">
        <f t="shared" si="33"/>
        <v>0</v>
      </c>
      <c r="CZ25" s="55">
        <f t="shared" si="33"/>
        <v>0</v>
      </c>
      <c r="DA25" s="55">
        <f t="shared" si="33"/>
        <v>0</v>
      </c>
      <c r="DB25" s="55">
        <f t="shared" si="33"/>
        <v>0</v>
      </c>
      <c r="DC25" s="55">
        <f t="shared" si="33"/>
        <v>0</v>
      </c>
      <c r="DD25" s="55">
        <f t="shared" si="33"/>
        <v>0</v>
      </c>
      <c r="DE25" s="55">
        <f t="shared" si="33"/>
        <v>0</v>
      </c>
      <c r="DF25" s="55">
        <f t="shared" si="33"/>
        <v>0</v>
      </c>
      <c r="DG25" s="55">
        <f t="shared" si="33"/>
        <v>0</v>
      </c>
      <c r="DH25" s="55">
        <f t="shared" si="33"/>
        <v>0</v>
      </c>
      <c r="DI25" s="40"/>
      <c r="DJ25" s="54">
        <f t="shared" si="32"/>
        <v>0</v>
      </c>
      <c r="DK25" s="56">
        <f t="shared" si="32"/>
        <v>140000</v>
      </c>
      <c r="DL25" s="57">
        <f t="shared" si="32"/>
        <v>0</v>
      </c>
      <c r="DM25" s="57">
        <f t="shared" si="32"/>
        <v>0</v>
      </c>
      <c r="DN25" s="57">
        <f t="shared" si="32"/>
        <v>0</v>
      </c>
      <c r="DO25" s="58">
        <f t="shared" si="32"/>
        <v>0</v>
      </c>
    </row>
    <row r="26" spans="1:119" ht="14.45">
      <c r="A26" s="23">
        <f t="shared" si="23"/>
        <v>20</v>
      </c>
      <c r="B26" s="23" t="s">
        <v>165</v>
      </c>
      <c r="C26" s="23">
        <v>40000</v>
      </c>
      <c r="D26" s="23" t="s">
        <v>166</v>
      </c>
      <c r="E26" s="44" t="s">
        <v>165</v>
      </c>
      <c r="F26" s="45" t="str">
        <f t="shared" si="24"/>
        <v>4400</v>
      </c>
      <c r="G26" s="23" t="s">
        <v>179</v>
      </c>
      <c r="H26" s="45" t="str">
        <f t="shared" si="7"/>
        <v>M9000</v>
      </c>
      <c r="I26" s="23" t="s">
        <v>172</v>
      </c>
      <c r="J26" s="23" t="s">
        <v>5</v>
      </c>
      <c r="K26" s="46" t="s">
        <v>195</v>
      </c>
      <c r="L26" s="47">
        <v>46266</v>
      </c>
      <c r="M26" s="48">
        <v>80000</v>
      </c>
      <c r="N26" s="49">
        <v>120</v>
      </c>
      <c r="O26" s="50">
        <f t="shared" si="25"/>
        <v>49888</v>
      </c>
      <c r="P26" s="51">
        <f t="shared" si="29"/>
        <v>0</v>
      </c>
      <c r="Q26" s="51">
        <f t="shared" si="29"/>
        <v>0</v>
      </c>
      <c r="R26" s="52">
        <f t="shared" si="29"/>
        <v>0</v>
      </c>
      <c r="S26" s="53">
        <f t="shared" si="29"/>
        <v>0</v>
      </c>
      <c r="T26" s="51">
        <f t="shared" si="29"/>
        <v>0</v>
      </c>
      <c r="U26" s="52">
        <f t="shared" si="29"/>
        <v>0</v>
      </c>
      <c r="V26" s="53">
        <f t="shared" si="29"/>
        <v>0</v>
      </c>
      <c r="W26" s="51">
        <f t="shared" si="29"/>
        <v>0</v>
      </c>
      <c r="X26" s="52">
        <f t="shared" si="29"/>
        <v>0</v>
      </c>
      <c r="Y26" s="53">
        <f t="shared" si="29"/>
        <v>0</v>
      </c>
      <c r="Z26" s="51">
        <f t="shared" si="29"/>
        <v>0</v>
      </c>
      <c r="AA26" s="52">
        <f t="shared" si="29"/>
        <v>0</v>
      </c>
      <c r="AB26" s="53">
        <f t="shared" si="29"/>
        <v>0</v>
      </c>
      <c r="AC26" s="51">
        <f t="shared" si="29"/>
        <v>0</v>
      </c>
      <c r="AD26" s="52">
        <f t="shared" si="29"/>
        <v>0</v>
      </c>
      <c r="AE26" s="53">
        <f t="shared" si="29"/>
        <v>0</v>
      </c>
      <c r="AF26" s="51">
        <f t="shared" si="27"/>
        <v>0</v>
      </c>
      <c r="AG26" s="52">
        <f t="shared" si="27"/>
        <v>0</v>
      </c>
      <c r="AH26" s="53">
        <f t="shared" si="27"/>
        <v>0</v>
      </c>
      <c r="AI26" s="51">
        <f t="shared" si="27"/>
        <v>0</v>
      </c>
      <c r="AJ26" s="52">
        <f t="shared" si="27"/>
        <v>80000</v>
      </c>
      <c r="AK26" s="53">
        <f t="shared" si="27"/>
        <v>0</v>
      </c>
      <c r="AL26" s="51">
        <f t="shared" si="27"/>
        <v>0</v>
      </c>
      <c r="AM26" s="52">
        <f t="shared" si="27"/>
        <v>0</v>
      </c>
      <c r="AN26" s="53">
        <f t="shared" si="27"/>
        <v>0</v>
      </c>
      <c r="AO26" s="51">
        <f t="shared" si="27"/>
        <v>0</v>
      </c>
      <c r="AP26" s="52">
        <f t="shared" si="27"/>
        <v>0</v>
      </c>
      <c r="AQ26" s="53">
        <f t="shared" si="27"/>
        <v>0</v>
      </c>
      <c r="AR26" s="51">
        <f t="shared" si="27"/>
        <v>0</v>
      </c>
      <c r="AS26" s="52">
        <f t="shared" si="27"/>
        <v>0</v>
      </c>
      <c r="AT26" s="53">
        <f t="shared" si="27"/>
        <v>0</v>
      </c>
      <c r="AU26" s="51">
        <f t="shared" si="30"/>
        <v>0</v>
      </c>
      <c r="AV26" s="52">
        <f t="shared" si="30"/>
        <v>0</v>
      </c>
      <c r="AW26" s="53">
        <f t="shared" si="30"/>
        <v>0</v>
      </c>
      <c r="AX26" s="51">
        <f t="shared" si="30"/>
        <v>0</v>
      </c>
      <c r="AY26" s="52">
        <f t="shared" si="30"/>
        <v>0</v>
      </c>
      <c r="AZ26" s="53">
        <f t="shared" si="30"/>
        <v>0</v>
      </c>
      <c r="BA26" s="51">
        <f t="shared" si="30"/>
        <v>0</v>
      </c>
      <c r="BB26" s="52">
        <f t="shared" si="30"/>
        <v>0</v>
      </c>
      <c r="BC26" s="53">
        <f t="shared" si="30"/>
        <v>0</v>
      </c>
      <c r="BD26" s="51">
        <f t="shared" si="30"/>
        <v>0</v>
      </c>
      <c r="BE26" s="52">
        <f t="shared" si="30"/>
        <v>0</v>
      </c>
      <c r="BF26" s="53">
        <f t="shared" si="30"/>
        <v>0</v>
      </c>
      <c r="BG26" s="51">
        <f t="shared" si="30"/>
        <v>0</v>
      </c>
      <c r="BH26" s="52">
        <f t="shared" si="30"/>
        <v>0</v>
      </c>
      <c r="BI26" s="53">
        <f t="shared" si="30"/>
        <v>0</v>
      </c>
      <c r="BJ26" s="51">
        <f t="shared" si="30"/>
        <v>0</v>
      </c>
      <c r="BK26" s="52">
        <f t="shared" si="28"/>
        <v>0</v>
      </c>
      <c r="BL26" s="53">
        <f t="shared" si="28"/>
        <v>0</v>
      </c>
      <c r="BM26" s="51">
        <f t="shared" si="28"/>
        <v>0</v>
      </c>
      <c r="BN26" s="52">
        <f t="shared" si="28"/>
        <v>0</v>
      </c>
      <c r="BO26" s="53">
        <f t="shared" si="28"/>
        <v>0</v>
      </c>
      <c r="BP26" s="51">
        <f t="shared" si="28"/>
        <v>0</v>
      </c>
      <c r="BQ26" s="52">
        <f t="shared" si="28"/>
        <v>0</v>
      </c>
      <c r="BR26" s="53">
        <f t="shared" si="28"/>
        <v>0</v>
      </c>
      <c r="BS26" s="51">
        <f t="shared" si="28"/>
        <v>0</v>
      </c>
      <c r="BT26" s="52">
        <f t="shared" si="28"/>
        <v>0</v>
      </c>
      <c r="BU26" s="53">
        <f t="shared" si="28"/>
        <v>0</v>
      </c>
      <c r="BV26" s="51">
        <f t="shared" si="28"/>
        <v>0</v>
      </c>
      <c r="BW26" s="52">
        <f t="shared" si="28"/>
        <v>0</v>
      </c>
      <c r="BX26" s="53">
        <f t="shared" si="28"/>
        <v>0</v>
      </c>
      <c r="BY26" s="51">
        <f t="shared" si="28"/>
        <v>0</v>
      </c>
      <c r="BZ26" s="52">
        <f t="shared" si="28"/>
        <v>0</v>
      </c>
      <c r="CA26" s="53">
        <f t="shared" si="31"/>
        <v>0</v>
      </c>
      <c r="CB26" s="51">
        <f t="shared" si="31"/>
        <v>0</v>
      </c>
      <c r="CC26" s="52">
        <f t="shared" si="31"/>
        <v>0</v>
      </c>
      <c r="CD26" s="53">
        <f t="shared" si="31"/>
        <v>0</v>
      </c>
      <c r="CE26" s="51">
        <f t="shared" si="31"/>
        <v>0</v>
      </c>
      <c r="CF26" s="52">
        <f t="shared" si="31"/>
        <v>0</v>
      </c>
      <c r="CG26" s="53">
        <f t="shared" si="31"/>
        <v>0</v>
      </c>
      <c r="CH26" s="51">
        <f t="shared" si="31"/>
        <v>0</v>
      </c>
      <c r="CI26" s="52">
        <f t="shared" si="31"/>
        <v>0</v>
      </c>
      <c r="CJ26" s="40"/>
      <c r="CK26" s="54">
        <f t="shared" si="13"/>
        <v>0</v>
      </c>
      <c r="CL26" s="54">
        <f t="shared" si="14"/>
        <v>0</v>
      </c>
      <c r="CM26" s="54">
        <f t="shared" si="15"/>
        <v>0</v>
      </c>
      <c r="CN26" s="54">
        <f t="shared" si="16"/>
        <v>0</v>
      </c>
      <c r="CO26" s="54">
        <f t="shared" si="17"/>
        <v>0</v>
      </c>
      <c r="CP26" s="54">
        <f t="shared" si="18"/>
        <v>0</v>
      </c>
      <c r="CQ26" s="54">
        <f t="shared" si="19"/>
        <v>80000</v>
      </c>
      <c r="CR26" s="54">
        <f t="shared" si="20"/>
        <v>0</v>
      </c>
      <c r="CS26" s="55">
        <f t="shared" si="33"/>
        <v>0</v>
      </c>
      <c r="CT26" s="55">
        <f t="shared" si="33"/>
        <v>0</v>
      </c>
      <c r="CU26" s="55">
        <f t="shared" si="33"/>
        <v>0</v>
      </c>
      <c r="CV26" s="55">
        <f t="shared" si="33"/>
        <v>0</v>
      </c>
      <c r="CW26" s="55">
        <f t="shared" si="33"/>
        <v>0</v>
      </c>
      <c r="CX26" s="55">
        <f t="shared" si="33"/>
        <v>0</v>
      </c>
      <c r="CY26" s="55">
        <f t="shared" si="33"/>
        <v>0</v>
      </c>
      <c r="CZ26" s="55">
        <f t="shared" si="33"/>
        <v>0</v>
      </c>
      <c r="DA26" s="55">
        <f t="shared" si="33"/>
        <v>0</v>
      </c>
      <c r="DB26" s="55">
        <f t="shared" si="33"/>
        <v>0</v>
      </c>
      <c r="DC26" s="55">
        <f t="shared" si="33"/>
        <v>0</v>
      </c>
      <c r="DD26" s="55">
        <f t="shared" si="33"/>
        <v>0</v>
      </c>
      <c r="DE26" s="55">
        <f t="shared" si="33"/>
        <v>0</v>
      </c>
      <c r="DF26" s="55">
        <f t="shared" si="33"/>
        <v>0</v>
      </c>
      <c r="DG26" s="55">
        <f t="shared" si="33"/>
        <v>0</v>
      </c>
      <c r="DH26" s="55">
        <f t="shared" si="33"/>
        <v>0</v>
      </c>
      <c r="DI26" s="40"/>
      <c r="DJ26" s="54">
        <f t="shared" si="32"/>
        <v>0</v>
      </c>
      <c r="DK26" s="56">
        <f t="shared" si="32"/>
        <v>80000</v>
      </c>
      <c r="DL26" s="57">
        <f t="shared" si="32"/>
        <v>0</v>
      </c>
      <c r="DM26" s="57">
        <f t="shared" si="32"/>
        <v>0</v>
      </c>
      <c r="DN26" s="57">
        <f t="shared" si="32"/>
        <v>0</v>
      </c>
      <c r="DO26" s="58">
        <f t="shared" si="32"/>
        <v>0</v>
      </c>
    </row>
    <row r="27" spans="1:119" ht="14.45">
      <c r="A27" s="23">
        <f t="shared" si="23"/>
        <v>21</v>
      </c>
      <c r="B27" s="23" t="s">
        <v>165</v>
      </c>
      <c r="C27" s="23">
        <v>40000</v>
      </c>
      <c r="D27" s="23" t="s">
        <v>166</v>
      </c>
      <c r="E27" s="44" t="s">
        <v>165</v>
      </c>
      <c r="F27" s="45" t="str">
        <f t="shared" si="24"/>
        <v>4400</v>
      </c>
      <c r="G27" s="23" t="s">
        <v>179</v>
      </c>
      <c r="H27" s="45" t="str">
        <f t="shared" si="7"/>
        <v>M9000</v>
      </c>
      <c r="I27" s="23" t="s">
        <v>172</v>
      </c>
      <c r="J27" s="23" t="s">
        <v>5</v>
      </c>
      <c r="K27" s="46" t="s">
        <v>196</v>
      </c>
      <c r="L27" s="47">
        <v>46327</v>
      </c>
      <c r="M27" s="48">
        <v>40000</v>
      </c>
      <c r="N27" s="49">
        <v>120</v>
      </c>
      <c r="O27" s="50">
        <f t="shared" si="25"/>
        <v>49949</v>
      </c>
      <c r="P27" s="51">
        <f t="shared" si="29"/>
        <v>0</v>
      </c>
      <c r="Q27" s="51">
        <f t="shared" si="29"/>
        <v>0</v>
      </c>
      <c r="R27" s="52">
        <f t="shared" si="29"/>
        <v>0</v>
      </c>
      <c r="S27" s="53">
        <f t="shared" si="29"/>
        <v>0</v>
      </c>
      <c r="T27" s="51">
        <f t="shared" si="29"/>
        <v>0</v>
      </c>
      <c r="U27" s="52">
        <f t="shared" si="29"/>
        <v>0</v>
      </c>
      <c r="V27" s="53">
        <f t="shared" si="29"/>
        <v>0</v>
      </c>
      <c r="W27" s="51">
        <f t="shared" si="29"/>
        <v>0</v>
      </c>
      <c r="X27" s="52">
        <f t="shared" si="29"/>
        <v>0</v>
      </c>
      <c r="Y27" s="53">
        <f t="shared" si="29"/>
        <v>0</v>
      </c>
      <c r="Z27" s="51">
        <f t="shared" si="29"/>
        <v>0</v>
      </c>
      <c r="AA27" s="52">
        <f t="shared" si="29"/>
        <v>0</v>
      </c>
      <c r="AB27" s="53">
        <f t="shared" si="29"/>
        <v>0</v>
      </c>
      <c r="AC27" s="51">
        <f t="shared" si="29"/>
        <v>0</v>
      </c>
      <c r="AD27" s="52">
        <f t="shared" si="29"/>
        <v>0</v>
      </c>
      <c r="AE27" s="53">
        <f t="shared" si="29"/>
        <v>0</v>
      </c>
      <c r="AF27" s="51">
        <f t="shared" si="27"/>
        <v>0</v>
      </c>
      <c r="AG27" s="52">
        <f t="shared" si="27"/>
        <v>0</v>
      </c>
      <c r="AH27" s="53">
        <f t="shared" si="27"/>
        <v>0</v>
      </c>
      <c r="AI27" s="51">
        <f t="shared" si="27"/>
        <v>0</v>
      </c>
      <c r="AJ27" s="52">
        <f t="shared" si="27"/>
        <v>0</v>
      </c>
      <c r="AK27" s="53">
        <f t="shared" si="27"/>
        <v>0</v>
      </c>
      <c r="AL27" s="51">
        <f t="shared" si="27"/>
        <v>40000</v>
      </c>
      <c r="AM27" s="52">
        <f t="shared" si="27"/>
        <v>0</v>
      </c>
      <c r="AN27" s="53">
        <f t="shared" si="27"/>
        <v>0</v>
      </c>
      <c r="AO27" s="51">
        <f t="shared" si="27"/>
        <v>0</v>
      </c>
      <c r="AP27" s="52">
        <f t="shared" si="27"/>
        <v>0</v>
      </c>
      <c r="AQ27" s="53">
        <f t="shared" si="27"/>
        <v>0</v>
      </c>
      <c r="AR27" s="51">
        <f t="shared" si="27"/>
        <v>0</v>
      </c>
      <c r="AS27" s="52">
        <f t="shared" si="27"/>
        <v>0</v>
      </c>
      <c r="AT27" s="53">
        <f t="shared" si="27"/>
        <v>0</v>
      </c>
      <c r="AU27" s="51">
        <f t="shared" si="30"/>
        <v>0</v>
      </c>
      <c r="AV27" s="52">
        <f t="shared" si="30"/>
        <v>0</v>
      </c>
      <c r="AW27" s="53">
        <f t="shared" si="30"/>
        <v>0</v>
      </c>
      <c r="AX27" s="51">
        <f t="shared" si="30"/>
        <v>0</v>
      </c>
      <c r="AY27" s="52">
        <f t="shared" si="30"/>
        <v>0</v>
      </c>
      <c r="AZ27" s="53">
        <f t="shared" si="30"/>
        <v>0</v>
      </c>
      <c r="BA27" s="51">
        <f t="shared" si="30"/>
        <v>0</v>
      </c>
      <c r="BB27" s="52">
        <f t="shared" si="30"/>
        <v>0</v>
      </c>
      <c r="BC27" s="53">
        <f t="shared" si="30"/>
        <v>0</v>
      </c>
      <c r="BD27" s="51">
        <f t="shared" si="30"/>
        <v>0</v>
      </c>
      <c r="BE27" s="52">
        <f t="shared" si="30"/>
        <v>0</v>
      </c>
      <c r="BF27" s="53">
        <f t="shared" si="30"/>
        <v>0</v>
      </c>
      <c r="BG27" s="51">
        <f t="shared" si="30"/>
        <v>0</v>
      </c>
      <c r="BH27" s="52">
        <f t="shared" si="30"/>
        <v>0</v>
      </c>
      <c r="BI27" s="53">
        <f t="shared" si="30"/>
        <v>0</v>
      </c>
      <c r="BJ27" s="51">
        <f t="shared" si="30"/>
        <v>0</v>
      </c>
      <c r="BK27" s="52">
        <f t="shared" si="28"/>
        <v>0</v>
      </c>
      <c r="BL27" s="53">
        <f t="shared" si="28"/>
        <v>0</v>
      </c>
      <c r="BM27" s="51">
        <f t="shared" si="28"/>
        <v>0</v>
      </c>
      <c r="BN27" s="52">
        <f t="shared" si="28"/>
        <v>0</v>
      </c>
      <c r="BO27" s="53">
        <f t="shared" si="28"/>
        <v>0</v>
      </c>
      <c r="BP27" s="51">
        <f t="shared" si="28"/>
        <v>0</v>
      </c>
      <c r="BQ27" s="52">
        <f t="shared" si="28"/>
        <v>0</v>
      </c>
      <c r="BR27" s="53">
        <f t="shared" si="28"/>
        <v>0</v>
      </c>
      <c r="BS27" s="51">
        <f t="shared" si="28"/>
        <v>0</v>
      </c>
      <c r="BT27" s="52">
        <f t="shared" si="28"/>
        <v>0</v>
      </c>
      <c r="BU27" s="53">
        <f t="shared" si="28"/>
        <v>0</v>
      </c>
      <c r="BV27" s="51">
        <f t="shared" si="28"/>
        <v>0</v>
      </c>
      <c r="BW27" s="52">
        <f t="shared" si="28"/>
        <v>0</v>
      </c>
      <c r="BX27" s="53">
        <f t="shared" si="28"/>
        <v>0</v>
      </c>
      <c r="BY27" s="51">
        <f t="shared" si="28"/>
        <v>0</v>
      </c>
      <c r="BZ27" s="52">
        <f t="shared" si="28"/>
        <v>0</v>
      </c>
      <c r="CA27" s="53">
        <f t="shared" si="31"/>
        <v>0</v>
      </c>
      <c r="CB27" s="51">
        <f t="shared" si="31"/>
        <v>0</v>
      </c>
      <c r="CC27" s="52">
        <f t="shared" si="31"/>
        <v>0</v>
      </c>
      <c r="CD27" s="53">
        <f t="shared" si="31"/>
        <v>0</v>
      </c>
      <c r="CE27" s="51">
        <f t="shared" si="31"/>
        <v>0</v>
      </c>
      <c r="CF27" s="52">
        <f t="shared" si="31"/>
        <v>0</v>
      </c>
      <c r="CG27" s="53">
        <f t="shared" si="31"/>
        <v>0</v>
      </c>
      <c r="CH27" s="51">
        <f t="shared" si="31"/>
        <v>0</v>
      </c>
      <c r="CI27" s="52">
        <f t="shared" si="31"/>
        <v>0</v>
      </c>
      <c r="CJ27" s="40"/>
      <c r="CK27" s="54">
        <f t="shared" si="13"/>
        <v>0</v>
      </c>
      <c r="CL27" s="54">
        <f t="shared" si="14"/>
        <v>0</v>
      </c>
      <c r="CM27" s="54">
        <f t="shared" si="15"/>
        <v>0</v>
      </c>
      <c r="CN27" s="54">
        <f t="shared" si="16"/>
        <v>0</v>
      </c>
      <c r="CO27" s="54">
        <f t="shared" si="17"/>
        <v>0</v>
      </c>
      <c r="CP27" s="54">
        <f t="shared" si="18"/>
        <v>0</v>
      </c>
      <c r="CQ27" s="54">
        <f t="shared" si="19"/>
        <v>0</v>
      </c>
      <c r="CR27" s="54">
        <f t="shared" si="20"/>
        <v>40000</v>
      </c>
      <c r="CS27" s="55">
        <f t="shared" si="33"/>
        <v>0</v>
      </c>
      <c r="CT27" s="55">
        <f t="shared" si="33"/>
        <v>0</v>
      </c>
      <c r="CU27" s="55">
        <f t="shared" si="33"/>
        <v>0</v>
      </c>
      <c r="CV27" s="55">
        <f t="shared" si="33"/>
        <v>0</v>
      </c>
      <c r="CW27" s="55">
        <f t="shared" si="33"/>
        <v>0</v>
      </c>
      <c r="CX27" s="55">
        <f t="shared" si="33"/>
        <v>0</v>
      </c>
      <c r="CY27" s="55">
        <f t="shared" si="33"/>
        <v>0</v>
      </c>
      <c r="CZ27" s="55">
        <f t="shared" si="33"/>
        <v>0</v>
      </c>
      <c r="DA27" s="55">
        <f t="shared" si="33"/>
        <v>0</v>
      </c>
      <c r="DB27" s="55">
        <f t="shared" si="33"/>
        <v>0</v>
      </c>
      <c r="DC27" s="55">
        <f t="shared" si="33"/>
        <v>0</v>
      </c>
      <c r="DD27" s="55">
        <f t="shared" si="33"/>
        <v>0</v>
      </c>
      <c r="DE27" s="55">
        <f t="shared" si="33"/>
        <v>0</v>
      </c>
      <c r="DF27" s="55">
        <f t="shared" si="33"/>
        <v>0</v>
      </c>
      <c r="DG27" s="55">
        <f t="shared" si="33"/>
        <v>0</v>
      </c>
      <c r="DH27" s="55">
        <f t="shared" si="33"/>
        <v>0</v>
      </c>
      <c r="DI27" s="40"/>
      <c r="DJ27" s="54">
        <f t="shared" si="32"/>
        <v>0</v>
      </c>
      <c r="DK27" s="56">
        <f t="shared" si="32"/>
        <v>40000</v>
      </c>
      <c r="DL27" s="57">
        <f t="shared" si="32"/>
        <v>0</v>
      </c>
      <c r="DM27" s="57">
        <f t="shared" si="32"/>
        <v>0</v>
      </c>
      <c r="DN27" s="57">
        <f t="shared" si="32"/>
        <v>0</v>
      </c>
      <c r="DO27" s="58">
        <f t="shared" si="32"/>
        <v>0</v>
      </c>
    </row>
    <row r="28" spans="1:119" ht="14.45">
      <c r="A28" s="23">
        <f t="shared" si="23"/>
        <v>22</v>
      </c>
      <c r="B28" s="23" t="s">
        <v>165</v>
      </c>
      <c r="C28" s="23">
        <v>40000</v>
      </c>
      <c r="D28" s="23" t="s">
        <v>166</v>
      </c>
      <c r="E28" s="44" t="s">
        <v>165</v>
      </c>
      <c r="F28" s="45" t="str">
        <f t="shared" si="24"/>
        <v>4800</v>
      </c>
      <c r="G28" s="23" t="s">
        <v>167</v>
      </c>
      <c r="H28" s="45" t="str">
        <f t="shared" si="7"/>
        <v>M9002</v>
      </c>
      <c r="I28" s="23" t="s">
        <v>197</v>
      </c>
      <c r="J28" s="23" t="s">
        <v>4</v>
      </c>
      <c r="K28" s="46" t="s">
        <v>198</v>
      </c>
      <c r="L28" s="47">
        <v>46082</v>
      </c>
      <c r="M28" s="48">
        <f>725000*0.3</f>
        <v>217500</v>
      </c>
      <c r="N28" s="49">
        <v>120</v>
      </c>
      <c r="O28" s="50">
        <f t="shared" si="25"/>
        <v>49706</v>
      </c>
      <c r="P28" s="51">
        <f t="shared" si="29"/>
        <v>0</v>
      </c>
      <c r="Q28" s="51">
        <f t="shared" si="29"/>
        <v>0</v>
      </c>
      <c r="R28" s="52">
        <f t="shared" si="29"/>
        <v>0</v>
      </c>
      <c r="S28" s="53">
        <f t="shared" si="29"/>
        <v>0</v>
      </c>
      <c r="T28" s="51">
        <f t="shared" si="29"/>
        <v>0</v>
      </c>
      <c r="U28" s="52">
        <f t="shared" si="29"/>
        <v>0</v>
      </c>
      <c r="V28" s="53">
        <f t="shared" si="29"/>
        <v>0</v>
      </c>
      <c r="W28" s="51">
        <f t="shared" si="29"/>
        <v>0</v>
      </c>
      <c r="X28" s="52">
        <f t="shared" si="29"/>
        <v>0</v>
      </c>
      <c r="Y28" s="53">
        <f t="shared" si="29"/>
        <v>0</v>
      </c>
      <c r="Z28" s="51">
        <f t="shared" si="29"/>
        <v>0</v>
      </c>
      <c r="AA28" s="52">
        <f t="shared" si="29"/>
        <v>0</v>
      </c>
      <c r="AB28" s="53">
        <f t="shared" si="29"/>
        <v>0</v>
      </c>
      <c r="AC28" s="51">
        <f t="shared" si="29"/>
        <v>0</v>
      </c>
      <c r="AD28" s="52">
        <f t="shared" si="29"/>
        <v>217500</v>
      </c>
      <c r="AE28" s="53">
        <f t="shared" si="29"/>
        <v>0</v>
      </c>
      <c r="AF28" s="51">
        <f t="shared" si="27"/>
        <v>0</v>
      </c>
      <c r="AG28" s="52">
        <f t="shared" si="27"/>
        <v>0</v>
      </c>
      <c r="AH28" s="53">
        <f t="shared" si="27"/>
        <v>0</v>
      </c>
      <c r="AI28" s="51">
        <f t="shared" si="27"/>
        <v>0</v>
      </c>
      <c r="AJ28" s="52">
        <f t="shared" si="27"/>
        <v>0</v>
      </c>
      <c r="AK28" s="53">
        <f t="shared" si="27"/>
        <v>0</v>
      </c>
      <c r="AL28" s="51">
        <f t="shared" si="27"/>
        <v>0</v>
      </c>
      <c r="AM28" s="52">
        <f t="shared" si="27"/>
        <v>0</v>
      </c>
      <c r="AN28" s="53">
        <f t="shared" si="27"/>
        <v>0</v>
      </c>
      <c r="AO28" s="51">
        <f t="shared" si="27"/>
        <v>0</v>
      </c>
      <c r="AP28" s="52">
        <f t="shared" si="27"/>
        <v>0</v>
      </c>
      <c r="AQ28" s="53">
        <f t="shared" si="27"/>
        <v>0</v>
      </c>
      <c r="AR28" s="51">
        <f t="shared" si="27"/>
        <v>0</v>
      </c>
      <c r="AS28" s="52">
        <f t="shared" si="27"/>
        <v>0</v>
      </c>
      <c r="AT28" s="53">
        <f t="shared" si="27"/>
        <v>0</v>
      </c>
      <c r="AU28" s="51">
        <f t="shared" si="30"/>
        <v>0</v>
      </c>
      <c r="AV28" s="52">
        <f t="shared" si="30"/>
        <v>0</v>
      </c>
      <c r="AW28" s="53">
        <f t="shared" si="30"/>
        <v>0</v>
      </c>
      <c r="AX28" s="51">
        <f t="shared" si="30"/>
        <v>0</v>
      </c>
      <c r="AY28" s="52">
        <f t="shared" si="30"/>
        <v>0</v>
      </c>
      <c r="AZ28" s="53">
        <f t="shared" si="30"/>
        <v>0</v>
      </c>
      <c r="BA28" s="51">
        <f t="shared" si="30"/>
        <v>0</v>
      </c>
      <c r="BB28" s="52">
        <f t="shared" si="30"/>
        <v>0</v>
      </c>
      <c r="BC28" s="53">
        <f t="shared" si="30"/>
        <v>0</v>
      </c>
      <c r="BD28" s="51">
        <f t="shared" si="30"/>
        <v>0</v>
      </c>
      <c r="BE28" s="52">
        <f t="shared" si="30"/>
        <v>0</v>
      </c>
      <c r="BF28" s="53">
        <f t="shared" si="30"/>
        <v>0</v>
      </c>
      <c r="BG28" s="51">
        <f t="shared" si="30"/>
        <v>0</v>
      </c>
      <c r="BH28" s="52">
        <f t="shared" si="30"/>
        <v>0</v>
      </c>
      <c r="BI28" s="53">
        <f t="shared" si="30"/>
        <v>0</v>
      </c>
      <c r="BJ28" s="51">
        <f t="shared" si="30"/>
        <v>0</v>
      </c>
      <c r="BK28" s="52">
        <f t="shared" si="28"/>
        <v>0</v>
      </c>
      <c r="BL28" s="53">
        <f t="shared" si="28"/>
        <v>0</v>
      </c>
      <c r="BM28" s="51">
        <f t="shared" si="28"/>
        <v>0</v>
      </c>
      <c r="BN28" s="52">
        <f t="shared" si="28"/>
        <v>0</v>
      </c>
      <c r="BO28" s="53">
        <f t="shared" si="28"/>
        <v>0</v>
      </c>
      <c r="BP28" s="51">
        <f t="shared" si="28"/>
        <v>0</v>
      </c>
      <c r="BQ28" s="52">
        <f t="shared" si="28"/>
        <v>0</v>
      </c>
      <c r="BR28" s="53">
        <f t="shared" si="28"/>
        <v>0</v>
      </c>
      <c r="BS28" s="51">
        <f t="shared" si="28"/>
        <v>0</v>
      </c>
      <c r="BT28" s="52">
        <f t="shared" si="28"/>
        <v>0</v>
      </c>
      <c r="BU28" s="53">
        <f t="shared" si="28"/>
        <v>0</v>
      </c>
      <c r="BV28" s="51">
        <f t="shared" si="28"/>
        <v>0</v>
      </c>
      <c r="BW28" s="52">
        <f t="shared" si="28"/>
        <v>0</v>
      </c>
      <c r="BX28" s="53">
        <f t="shared" si="28"/>
        <v>0</v>
      </c>
      <c r="BY28" s="51">
        <f t="shared" si="28"/>
        <v>0</v>
      </c>
      <c r="BZ28" s="52">
        <f t="shared" si="28"/>
        <v>0</v>
      </c>
      <c r="CA28" s="53">
        <f t="shared" si="31"/>
        <v>0</v>
      </c>
      <c r="CB28" s="51">
        <f t="shared" si="31"/>
        <v>0</v>
      </c>
      <c r="CC28" s="52">
        <f t="shared" si="31"/>
        <v>0</v>
      </c>
      <c r="CD28" s="53">
        <f t="shared" si="31"/>
        <v>0</v>
      </c>
      <c r="CE28" s="51">
        <f t="shared" si="31"/>
        <v>0</v>
      </c>
      <c r="CF28" s="52">
        <f t="shared" si="31"/>
        <v>0</v>
      </c>
      <c r="CG28" s="53">
        <f t="shared" si="31"/>
        <v>0</v>
      </c>
      <c r="CH28" s="51">
        <f t="shared" si="31"/>
        <v>0</v>
      </c>
      <c r="CI28" s="52">
        <f t="shared" si="31"/>
        <v>0</v>
      </c>
      <c r="CJ28" s="40"/>
      <c r="CK28" s="54">
        <f t="shared" si="13"/>
        <v>0</v>
      </c>
      <c r="CL28" s="54">
        <f t="shared" si="14"/>
        <v>0</v>
      </c>
      <c r="CM28" s="54">
        <f t="shared" si="15"/>
        <v>0</v>
      </c>
      <c r="CN28" s="54">
        <f t="shared" si="16"/>
        <v>0</v>
      </c>
      <c r="CO28" s="54">
        <f t="shared" si="17"/>
        <v>217500</v>
      </c>
      <c r="CP28" s="54">
        <f t="shared" si="18"/>
        <v>0</v>
      </c>
      <c r="CQ28" s="54">
        <f t="shared" si="19"/>
        <v>0</v>
      </c>
      <c r="CR28" s="54">
        <f t="shared" si="20"/>
        <v>0</v>
      </c>
      <c r="CS28" s="55">
        <f t="shared" si="33"/>
        <v>0</v>
      </c>
      <c r="CT28" s="55">
        <f t="shared" si="33"/>
        <v>0</v>
      </c>
      <c r="CU28" s="55">
        <f t="shared" si="33"/>
        <v>0</v>
      </c>
      <c r="CV28" s="55">
        <f t="shared" si="33"/>
        <v>0</v>
      </c>
      <c r="CW28" s="55">
        <f t="shared" si="33"/>
        <v>0</v>
      </c>
      <c r="CX28" s="55">
        <f t="shared" si="33"/>
        <v>0</v>
      </c>
      <c r="CY28" s="55">
        <f t="shared" si="33"/>
        <v>0</v>
      </c>
      <c r="CZ28" s="55">
        <f t="shared" si="33"/>
        <v>0</v>
      </c>
      <c r="DA28" s="55">
        <f t="shared" si="33"/>
        <v>0</v>
      </c>
      <c r="DB28" s="55">
        <f t="shared" si="33"/>
        <v>0</v>
      </c>
      <c r="DC28" s="55">
        <f t="shared" si="33"/>
        <v>0</v>
      </c>
      <c r="DD28" s="55">
        <f t="shared" si="33"/>
        <v>0</v>
      </c>
      <c r="DE28" s="55">
        <f t="shared" si="33"/>
        <v>0</v>
      </c>
      <c r="DF28" s="55">
        <f t="shared" si="33"/>
        <v>0</v>
      </c>
      <c r="DG28" s="55">
        <f t="shared" si="33"/>
        <v>0</v>
      </c>
      <c r="DH28" s="55">
        <f t="shared" si="33"/>
        <v>0</v>
      </c>
      <c r="DI28" s="40"/>
      <c r="DJ28" s="54">
        <f t="shared" si="32"/>
        <v>0</v>
      </c>
      <c r="DK28" s="56">
        <f t="shared" si="32"/>
        <v>217500</v>
      </c>
      <c r="DL28" s="57">
        <f t="shared" si="32"/>
        <v>0</v>
      </c>
      <c r="DM28" s="57">
        <f t="shared" si="32"/>
        <v>0</v>
      </c>
      <c r="DN28" s="57">
        <f t="shared" si="32"/>
        <v>0</v>
      </c>
      <c r="DO28" s="58">
        <f t="shared" si="32"/>
        <v>0</v>
      </c>
    </row>
    <row r="29" spans="1:119" ht="14.45">
      <c r="E29" s="44"/>
      <c r="F29" s="45"/>
      <c r="G29" s="23" t="s">
        <v>167</v>
      </c>
      <c r="H29" s="45" t="str">
        <f t="shared" si="7"/>
        <v>M9002</v>
      </c>
      <c r="I29" s="23" t="s">
        <v>197</v>
      </c>
      <c r="J29" s="23" t="s">
        <v>4</v>
      </c>
      <c r="K29" s="46" t="s">
        <v>199</v>
      </c>
      <c r="L29" s="47">
        <v>46174</v>
      </c>
      <c r="M29" s="48">
        <f>725000*0.5</f>
        <v>362500</v>
      </c>
      <c r="N29" s="49">
        <v>120</v>
      </c>
      <c r="O29" s="50">
        <f t="shared" si="25"/>
        <v>49796</v>
      </c>
      <c r="P29" s="51"/>
      <c r="Q29" s="51"/>
      <c r="R29" s="52"/>
      <c r="S29" s="53"/>
      <c r="T29" s="51"/>
      <c r="U29" s="52"/>
      <c r="V29" s="53"/>
      <c r="W29" s="51"/>
      <c r="X29" s="52"/>
      <c r="Y29" s="53"/>
      <c r="Z29" s="51"/>
      <c r="AA29" s="52"/>
      <c r="AB29" s="53">
        <f t="shared" si="29"/>
        <v>0</v>
      </c>
      <c r="AC29" s="51">
        <f t="shared" si="29"/>
        <v>0</v>
      </c>
      <c r="AD29" s="52">
        <f t="shared" si="29"/>
        <v>0</v>
      </c>
      <c r="AE29" s="53">
        <f t="shared" si="29"/>
        <v>0</v>
      </c>
      <c r="AF29" s="51">
        <f t="shared" si="27"/>
        <v>0</v>
      </c>
      <c r="AG29" s="52">
        <f t="shared" si="27"/>
        <v>362500</v>
      </c>
      <c r="AH29" s="53">
        <f t="shared" si="27"/>
        <v>0</v>
      </c>
      <c r="AI29" s="51">
        <f t="shared" si="27"/>
        <v>0</v>
      </c>
      <c r="AJ29" s="52">
        <f t="shared" si="27"/>
        <v>0</v>
      </c>
      <c r="AK29" s="53">
        <f t="shared" si="27"/>
        <v>0</v>
      </c>
      <c r="AL29" s="51">
        <f t="shared" si="27"/>
        <v>0</v>
      </c>
      <c r="AM29" s="52">
        <f t="shared" si="27"/>
        <v>0</v>
      </c>
      <c r="AN29" s="53">
        <f t="shared" si="27"/>
        <v>0</v>
      </c>
      <c r="AO29" s="51">
        <f t="shared" si="27"/>
        <v>0</v>
      </c>
      <c r="AP29" s="52">
        <f t="shared" si="27"/>
        <v>0</v>
      </c>
      <c r="AQ29" s="53">
        <f t="shared" si="27"/>
        <v>0</v>
      </c>
      <c r="AR29" s="51">
        <f t="shared" si="27"/>
        <v>0</v>
      </c>
      <c r="AS29" s="52">
        <f t="shared" si="27"/>
        <v>0</v>
      </c>
      <c r="AT29" s="53">
        <f t="shared" si="27"/>
        <v>0</v>
      </c>
      <c r="AU29" s="51">
        <f t="shared" si="30"/>
        <v>0</v>
      </c>
      <c r="AV29" s="52">
        <f t="shared" si="30"/>
        <v>0</v>
      </c>
      <c r="AW29" s="53">
        <f t="shared" si="30"/>
        <v>0</v>
      </c>
      <c r="AX29" s="51">
        <f t="shared" si="30"/>
        <v>0</v>
      </c>
      <c r="AY29" s="52">
        <f t="shared" si="30"/>
        <v>0</v>
      </c>
      <c r="AZ29" s="53">
        <f t="shared" si="30"/>
        <v>0</v>
      </c>
      <c r="BA29" s="51">
        <f t="shared" si="30"/>
        <v>0</v>
      </c>
      <c r="BB29" s="52">
        <f t="shared" si="30"/>
        <v>0</v>
      </c>
      <c r="BC29" s="53">
        <f t="shared" si="30"/>
        <v>0</v>
      </c>
      <c r="BD29" s="51">
        <f t="shared" si="30"/>
        <v>0</v>
      </c>
      <c r="BE29" s="52">
        <f t="shared" si="30"/>
        <v>0</v>
      </c>
      <c r="BF29" s="53">
        <f t="shared" si="30"/>
        <v>0</v>
      </c>
      <c r="BG29" s="51">
        <f t="shared" si="30"/>
        <v>0</v>
      </c>
      <c r="BH29" s="52">
        <f t="shared" si="30"/>
        <v>0</v>
      </c>
      <c r="BI29" s="53">
        <f t="shared" si="30"/>
        <v>0</v>
      </c>
      <c r="BJ29" s="51">
        <f t="shared" si="30"/>
        <v>0</v>
      </c>
      <c r="BK29" s="52">
        <f t="shared" si="28"/>
        <v>0</v>
      </c>
      <c r="BL29" s="53">
        <f t="shared" si="28"/>
        <v>0</v>
      </c>
      <c r="BM29" s="51">
        <f t="shared" si="28"/>
        <v>0</v>
      </c>
      <c r="BN29" s="52">
        <f t="shared" si="28"/>
        <v>0</v>
      </c>
      <c r="BO29" s="53">
        <f t="shared" si="28"/>
        <v>0</v>
      </c>
      <c r="BP29" s="51">
        <f t="shared" si="28"/>
        <v>0</v>
      </c>
      <c r="BQ29" s="52">
        <f t="shared" si="28"/>
        <v>0</v>
      </c>
      <c r="BR29" s="53">
        <f t="shared" si="28"/>
        <v>0</v>
      </c>
      <c r="BS29" s="51">
        <f t="shared" si="28"/>
        <v>0</v>
      </c>
      <c r="BT29" s="52">
        <f t="shared" si="28"/>
        <v>0</v>
      </c>
      <c r="BU29" s="53">
        <f t="shared" si="28"/>
        <v>0</v>
      </c>
      <c r="BV29" s="51">
        <f t="shared" si="28"/>
        <v>0</v>
      </c>
      <c r="BW29" s="52">
        <f t="shared" si="28"/>
        <v>0</v>
      </c>
      <c r="BX29" s="53">
        <f t="shared" si="28"/>
        <v>0</v>
      </c>
      <c r="BY29" s="51">
        <f t="shared" si="28"/>
        <v>0</v>
      </c>
      <c r="BZ29" s="52">
        <f t="shared" si="28"/>
        <v>0</v>
      </c>
      <c r="CA29" s="53">
        <f t="shared" si="31"/>
        <v>0</v>
      </c>
      <c r="CB29" s="51">
        <f t="shared" si="31"/>
        <v>0</v>
      </c>
      <c r="CC29" s="52">
        <f t="shared" si="31"/>
        <v>0</v>
      </c>
      <c r="CD29" s="53">
        <f t="shared" si="31"/>
        <v>0</v>
      </c>
      <c r="CE29" s="51">
        <f t="shared" si="31"/>
        <v>0</v>
      </c>
      <c r="CF29" s="52">
        <f t="shared" si="31"/>
        <v>0</v>
      </c>
      <c r="CG29" s="53">
        <f t="shared" si="31"/>
        <v>0</v>
      </c>
      <c r="CH29" s="51">
        <f t="shared" si="31"/>
        <v>0</v>
      </c>
      <c r="CI29" s="52">
        <f t="shared" si="31"/>
        <v>0</v>
      </c>
      <c r="CJ29" s="40"/>
      <c r="CK29" s="54">
        <f t="shared" ref="CK29:CK30" si="34">SUM(P29:R29)</f>
        <v>0</v>
      </c>
      <c r="CL29" s="54">
        <f t="shared" ref="CL29:CL30" si="35">SUM(S29:U29)</f>
        <v>0</v>
      </c>
      <c r="CM29" s="54">
        <f t="shared" ref="CM29:CM30" si="36">SUM(V29:X29)</f>
        <v>0</v>
      </c>
      <c r="CN29" s="54">
        <f t="shared" ref="CN29:CN30" si="37">SUM(Y29:AA29)</f>
        <v>0</v>
      </c>
      <c r="CO29" s="54">
        <f t="shared" ref="CO29:CO30" si="38">SUM(AB29:AD29)</f>
        <v>0</v>
      </c>
      <c r="CP29" s="54">
        <f t="shared" ref="CP29:CP30" si="39">SUM(AE29:AG29)</f>
        <v>362500</v>
      </c>
      <c r="CQ29" s="54">
        <f t="shared" ref="CQ29:CQ30" si="40">SUM(AH29:AJ29)</f>
        <v>0</v>
      </c>
      <c r="CR29" s="54">
        <f t="shared" ref="CR29:CR30" si="41">SUM(AK29:AM29)</f>
        <v>0</v>
      </c>
      <c r="CS29" s="55">
        <f t="shared" si="33"/>
        <v>0</v>
      </c>
      <c r="CT29" s="55">
        <f t="shared" si="33"/>
        <v>0</v>
      </c>
      <c r="CU29" s="55">
        <f t="shared" si="33"/>
        <v>0</v>
      </c>
      <c r="CV29" s="55">
        <f t="shared" si="33"/>
        <v>0</v>
      </c>
      <c r="CW29" s="55">
        <f t="shared" si="33"/>
        <v>0</v>
      </c>
      <c r="CX29" s="55">
        <f t="shared" si="33"/>
        <v>0</v>
      </c>
      <c r="CY29" s="55">
        <f t="shared" si="33"/>
        <v>0</v>
      </c>
      <c r="CZ29" s="55">
        <f t="shared" si="33"/>
        <v>0</v>
      </c>
      <c r="DA29" s="55">
        <f t="shared" si="33"/>
        <v>0</v>
      </c>
      <c r="DB29" s="55">
        <f t="shared" si="33"/>
        <v>0</v>
      </c>
      <c r="DC29" s="55">
        <f t="shared" si="33"/>
        <v>0</v>
      </c>
      <c r="DD29" s="55">
        <f t="shared" si="33"/>
        <v>0</v>
      </c>
      <c r="DE29" s="55">
        <f t="shared" si="33"/>
        <v>0</v>
      </c>
      <c r="DF29" s="55">
        <f t="shared" si="33"/>
        <v>0</v>
      </c>
      <c r="DG29" s="55">
        <f t="shared" si="33"/>
        <v>0</v>
      </c>
      <c r="DH29" s="55">
        <f t="shared" si="33"/>
        <v>0</v>
      </c>
      <c r="DI29" s="40"/>
      <c r="DJ29" s="54">
        <f t="shared" si="32"/>
        <v>0</v>
      </c>
      <c r="DK29" s="56">
        <f t="shared" si="32"/>
        <v>362500</v>
      </c>
      <c r="DL29" s="57">
        <f t="shared" si="32"/>
        <v>0</v>
      </c>
      <c r="DM29" s="57">
        <f t="shared" si="32"/>
        <v>0</v>
      </c>
      <c r="DN29" s="57">
        <f t="shared" si="32"/>
        <v>0</v>
      </c>
      <c r="DO29" s="58">
        <f t="shared" si="32"/>
        <v>0</v>
      </c>
    </row>
    <row r="30" spans="1:119" ht="14.45">
      <c r="E30" s="44"/>
      <c r="F30" s="45"/>
      <c r="G30" s="23" t="s">
        <v>167</v>
      </c>
      <c r="H30" s="45" t="str">
        <f t="shared" si="7"/>
        <v>M9002</v>
      </c>
      <c r="I30" s="23" t="s">
        <v>197</v>
      </c>
      <c r="J30" s="23" t="s">
        <v>4</v>
      </c>
      <c r="K30" s="46" t="s">
        <v>200</v>
      </c>
      <c r="L30" s="47">
        <v>46174</v>
      </c>
      <c r="M30" s="48">
        <f>725000*0.2</f>
        <v>145000</v>
      </c>
      <c r="N30" s="49">
        <v>120</v>
      </c>
      <c r="O30" s="50">
        <f t="shared" si="25"/>
        <v>49796</v>
      </c>
      <c r="P30" s="51"/>
      <c r="Q30" s="51"/>
      <c r="R30" s="52"/>
      <c r="S30" s="53"/>
      <c r="T30" s="51"/>
      <c r="U30" s="52"/>
      <c r="V30" s="53"/>
      <c r="W30" s="51"/>
      <c r="X30" s="52"/>
      <c r="Y30" s="53"/>
      <c r="Z30" s="51"/>
      <c r="AA30" s="52"/>
      <c r="AB30" s="53">
        <f t="shared" si="29"/>
        <v>0</v>
      </c>
      <c r="AC30" s="51">
        <f t="shared" si="29"/>
        <v>0</v>
      </c>
      <c r="AD30" s="52">
        <f t="shared" si="29"/>
        <v>0</v>
      </c>
      <c r="AE30" s="53">
        <f t="shared" si="29"/>
        <v>0</v>
      </c>
      <c r="AF30" s="51">
        <f t="shared" si="27"/>
        <v>0</v>
      </c>
      <c r="AG30" s="52">
        <f t="shared" si="27"/>
        <v>145000</v>
      </c>
      <c r="AH30" s="53">
        <f t="shared" si="27"/>
        <v>0</v>
      </c>
      <c r="AI30" s="51">
        <f t="shared" si="27"/>
        <v>0</v>
      </c>
      <c r="AJ30" s="52">
        <f t="shared" si="27"/>
        <v>0</v>
      </c>
      <c r="AK30" s="53">
        <f t="shared" si="27"/>
        <v>0</v>
      </c>
      <c r="AL30" s="51">
        <f t="shared" si="27"/>
        <v>0</v>
      </c>
      <c r="AM30" s="52">
        <f t="shared" si="27"/>
        <v>0</v>
      </c>
      <c r="AN30" s="53">
        <f t="shared" si="27"/>
        <v>0</v>
      </c>
      <c r="AO30" s="51">
        <f t="shared" si="27"/>
        <v>0</v>
      </c>
      <c r="AP30" s="52">
        <f t="shared" si="27"/>
        <v>0</v>
      </c>
      <c r="AQ30" s="53">
        <f t="shared" si="27"/>
        <v>0</v>
      </c>
      <c r="AR30" s="51">
        <f t="shared" si="27"/>
        <v>0</v>
      </c>
      <c r="AS30" s="52">
        <f t="shared" si="27"/>
        <v>0</v>
      </c>
      <c r="AT30" s="53">
        <f t="shared" si="27"/>
        <v>0</v>
      </c>
      <c r="AU30" s="51">
        <f t="shared" si="30"/>
        <v>0</v>
      </c>
      <c r="AV30" s="52">
        <f t="shared" si="30"/>
        <v>0</v>
      </c>
      <c r="AW30" s="53">
        <f t="shared" si="30"/>
        <v>0</v>
      </c>
      <c r="AX30" s="51">
        <f t="shared" si="30"/>
        <v>0</v>
      </c>
      <c r="AY30" s="52">
        <f t="shared" si="30"/>
        <v>0</v>
      </c>
      <c r="AZ30" s="53">
        <f t="shared" si="30"/>
        <v>0</v>
      </c>
      <c r="BA30" s="51">
        <f t="shared" si="30"/>
        <v>0</v>
      </c>
      <c r="BB30" s="52">
        <f t="shared" si="30"/>
        <v>0</v>
      </c>
      <c r="BC30" s="53">
        <f t="shared" si="30"/>
        <v>0</v>
      </c>
      <c r="BD30" s="51">
        <f t="shared" si="30"/>
        <v>0</v>
      </c>
      <c r="BE30" s="52">
        <f t="shared" si="30"/>
        <v>0</v>
      </c>
      <c r="BF30" s="53">
        <f t="shared" si="30"/>
        <v>0</v>
      </c>
      <c r="BG30" s="51">
        <f t="shared" si="30"/>
        <v>0</v>
      </c>
      <c r="BH30" s="52">
        <f t="shared" si="30"/>
        <v>0</v>
      </c>
      <c r="BI30" s="53">
        <f t="shared" si="30"/>
        <v>0</v>
      </c>
      <c r="BJ30" s="51">
        <f t="shared" si="30"/>
        <v>0</v>
      </c>
      <c r="BK30" s="52">
        <f t="shared" si="28"/>
        <v>0</v>
      </c>
      <c r="BL30" s="53">
        <f t="shared" si="28"/>
        <v>0</v>
      </c>
      <c r="BM30" s="51">
        <f t="shared" si="28"/>
        <v>0</v>
      </c>
      <c r="BN30" s="52">
        <f t="shared" si="28"/>
        <v>0</v>
      </c>
      <c r="BO30" s="53">
        <f t="shared" si="28"/>
        <v>0</v>
      </c>
      <c r="BP30" s="51">
        <f t="shared" si="28"/>
        <v>0</v>
      </c>
      <c r="BQ30" s="52">
        <f t="shared" si="28"/>
        <v>0</v>
      </c>
      <c r="BR30" s="53">
        <f t="shared" si="28"/>
        <v>0</v>
      </c>
      <c r="BS30" s="51">
        <f t="shared" si="28"/>
        <v>0</v>
      </c>
      <c r="BT30" s="52">
        <f t="shared" si="28"/>
        <v>0</v>
      </c>
      <c r="BU30" s="53">
        <f t="shared" si="28"/>
        <v>0</v>
      </c>
      <c r="BV30" s="51">
        <f t="shared" si="28"/>
        <v>0</v>
      </c>
      <c r="BW30" s="52">
        <f t="shared" si="28"/>
        <v>0</v>
      </c>
      <c r="BX30" s="53">
        <f t="shared" si="28"/>
        <v>0</v>
      </c>
      <c r="BY30" s="51">
        <f t="shared" si="28"/>
        <v>0</v>
      </c>
      <c r="BZ30" s="52">
        <f t="shared" si="28"/>
        <v>0</v>
      </c>
      <c r="CA30" s="53">
        <f t="shared" si="31"/>
        <v>0</v>
      </c>
      <c r="CB30" s="51">
        <f t="shared" si="31"/>
        <v>0</v>
      </c>
      <c r="CC30" s="52">
        <f t="shared" si="31"/>
        <v>0</v>
      </c>
      <c r="CD30" s="53">
        <f t="shared" si="31"/>
        <v>0</v>
      </c>
      <c r="CE30" s="51">
        <f t="shared" si="31"/>
        <v>0</v>
      </c>
      <c r="CF30" s="52">
        <f t="shared" si="31"/>
        <v>0</v>
      </c>
      <c r="CG30" s="53">
        <f t="shared" si="31"/>
        <v>0</v>
      </c>
      <c r="CH30" s="51">
        <f t="shared" si="31"/>
        <v>0</v>
      </c>
      <c r="CI30" s="52">
        <f t="shared" si="31"/>
        <v>0</v>
      </c>
      <c r="CJ30" s="40"/>
      <c r="CK30" s="54">
        <f t="shared" si="34"/>
        <v>0</v>
      </c>
      <c r="CL30" s="54">
        <f t="shared" si="35"/>
        <v>0</v>
      </c>
      <c r="CM30" s="54">
        <f t="shared" si="36"/>
        <v>0</v>
      </c>
      <c r="CN30" s="54">
        <f t="shared" si="37"/>
        <v>0</v>
      </c>
      <c r="CO30" s="54">
        <f t="shared" si="38"/>
        <v>0</v>
      </c>
      <c r="CP30" s="54">
        <f t="shared" si="39"/>
        <v>145000</v>
      </c>
      <c r="CQ30" s="54">
        <f t="shared" si="40"/>
        <v>0</v>
      </c>
      <c r="CR30" s="54">
        <f t="shared" si="41"/>
        <v>0</v>
      </c>
      <c r="CS30" s="55">
        <f t="shared" si="33"/>
        <v>0</v>
      </c>
      <c r="CT30" s="55">
        <f t="shared" si="33"/>
        <v>0</v>
      </c>
      <c r="CU30" s="55">
        <f t="shared" si="33"/>
        <v>0</v>
      </c>
      <c r="CV30" s="55">
        <f t="shared" si="33"/>
        <v>0</v>
      </c>
      <c r="CW30" s="55">
        <f t="shared" si="33"/>
        <v>0</v>
      </c>
      <c r="CX30" s="55">
        <f t="shared" si="33"/>
        <v>0</v>
      </c>
      <c r="CY30" s="55">
        <f t="shared" si="33"/>
        <v>0</v>
      </c>
      <c r="CZ30" s="55">
        <f t="shared" si="33"/>
        <v>0</v>
      </c>
      <c r="DA30" s="55">
        <f t="shared" si="33"/>
        <v>0</v>
      </c>
      <c r="DB30" s="55">
        <f t="shared" si="33"/>
        <v>0</v>
      </c>
      <c r="DC30" s="55">
        <f t="shared" si="33"/>
        <v>0</v>
      </c>
      <c r="DD30" s="55">
        <f t="shared" si="33"/>
        <v>0</v>
      </c>
      <c r="DE30" s="55">
        <f t="shared" si="33"/>
        <v>0</v>
      </c>
      <c r="DF30" s="55">
        <f t="shared" si="33"/>
        <v>0</v>
      </c>
      <c r="DG30" s="55">
        <f t="shared" si="33"/>
        <v>0</v>
      </c>
      <c r="DH30" s="55">
        <f t="shared" si="33"/>
        <v>0</v>
      </c>
      <c r="DI30" s="40"/>
      <c r="DJ30" s="54">
        <f t="shared" si="32"/>
        <v>0</v>
      </c>
      <c r="DK30" s="56">
        <f t="shared" si="32"/>
        <v>145000</v>
      </c>
      <c r="DL30" s="57">
        <f t="shared" si="32"/>
        <v>0</v>
      </c>
      <c r="DM30" s="57">
        <f t="shared" si="32"/>
        <v>0</v>
      </c>
      <c r="DN30" s="57">
        <f t="shared" si="32"/>
        <v>0</v>
      </c>
      <c r="DO30" s="58">
        <f t="shared" si="32"/>
        <v>0</v>
      </c>
    </row>
    <row r="31" spans="1:119" ht="14.45">
      <c r="A31" s="23">
        <f>A28+1</f>
        <v>23</v>
      </c>
      <c r="B31" s="23" t="s">
        <v>165</v>
      </c>
      <c r="C31" s="23">
        <v>40000</v>
      </c>
      <c r="D31" s="23" t="s">
        <v>166</v>
      </c>
      <c r="E31" s="44" t="s">
        <v>165</v>
      </c>
      <c r="F31" s="45" t="str">
        <f t="shared" si="24"/>
        <v>4000</v>
      </c>
      <c r="G31" s="23" t="s">
        <v>184</v>
      </c>
      <c r="H31" s="45" t="str">
        <f t="shared" si="7"/>
        <v>I0002</v>
      </c>
      <c r="I31" s="23" t="s">
        <v>192</v>
      </c>
      <c r="J31" s="118" t="s">
        <v>6</v>
      </c>
      <c r="K31" s="46" t="s">
        <v>193</v>
      </c>
      <c r="L31" s="47">
        <v>46174</v>
      </c>
      <c r="M31" s="48">
        <v>98000</v>
      </c>
      <c r="N31" s="49">
        <v>120</v>
      </c>
      <c r="O31" s="50">
        <f t="shared" si="25"/>
        <v>49796</v>
      </c>
      <c r="P31" s="51">
        <f t="shared" si="29"/>
        <v>0</v>
      </c>
      <c r="Q31" s="51">
        <f t="shared" si="29"/>
        <v>0</v>
      </c>
      <c r="R31" s="52">
        <f t="shared" si="29"/>
        <v>0</v>
      </c>
      <c r="S31" s="53">
        <f t="shared" si="29"/>
        <v>0</v>
      </c>
      <c r="T31" s="51">
        <f t="shared" si="29"/>
        <v>0</v>
      </c>
      <c r="U31" s="52">
        <f t="shared" si="29"/>
        <v>0</v>
      </c>
      <c r="V31" s="53">
        <f t="shared" si="29"/>
        <v>0</v>
      </c>
      <c r="W31" s="51">
        <f t="shared" si="29"/>
        <v>0</v>
      </c>
      <c r="X31" s="52">
        <f t="shared" si="29"/>
        <v>0</v>
      </c>
      <c r="Y31" s="53">
        <f t="shared" si="29"/>
        <v>0</v>
      </c>
      <c r="Z31" s="51">
        <f t="shared" si="29"/>
        <v>0</v>
      </c>
      <c r="AA31" s="52">
        <f t="shared" si="29"/>
        <v>0</v>
      </c>
      <c r="AB31" s="53">
        <f t="shared" si="29"/>
        <v>0</v>
      </c>
      <c r="AC31" s="51">
        <f t="shared" si="29"/>
        <v>0</v>
      </c>
      <c r="AD31" s="52">
        <f t="shared" si="29"/>
        <v>0</v>
      </c>
      <c r="AE31" s="53">
        <f t="shared" si="29"/>
        <v>0</v>
      </c>
      <c r="AF31" s="51">
        <f t="shared" si="27"/>
        <v>0</v>
      </c>
      <c r="AG31" s="52">
        <f t="shared" si="27"/>
        <v>98000</v>
      </c>
      <c r="AH31" s="53">
        <f t="shared" si="27"/>
        <v>0</v>
      </c>
      <c r="AI31" s="51">
        <f t="shared" si="27"/>
        <v>0</v>
      </c>
      <c r="AJ31" s="52">
        <f t="shared" si="27"/>
        <v>0</v>
      </c>
      <c r="AK31" s="53">
        <f t="shared" si="27"/>
        <v>0</v>
      </c>
      <c r="AL31" s="51">
        <f t="shared" si="27"/>
        <v>0</v>
      </c>
      <c r="AM31" s="52">
        <f t="shared" si="27"/>
        <v>0</v>
      </c>
      <c r="AN31" s="53">
        <f t="shared" si="27"/>
        <v>0</v>
      </c>
      <c r="AO31" s="51">
        <f t="shared" si="27"/>
        <v>0</v>
      </c>
      <c r="AP31" s="52">
        <f t="shared" si="27"/>
        <v>0</v>
      </c>
      <c r="AQ31" s="53">
        <f t="shared" si="27"/>
        <v>0</v>
      </c>
      <c r="AR31" s="51">
        <f t="shared" si="27"/>
        <v>0</v>
      </c>
      <c r="AS31" s="52">
        <f t="shared" si="27"/>
        <v>0</v>
      </c>
      <c r="AT31" s="53">
        <f t="shared" si="27"/>
        <v>0</v>
      </c>
      <c r="AU31" s="51">
        <f t="shared" si="30"/>
        <v>0</v>
      </c>
      <c r="AV31" s="52">
        <f t="shared" si="30"/>
        <v>0</v>
      </c>
      <c r="AW31" s="53">
        <f t="shared" si="30"/>
        <v>0</v>
      </c>
      <c r="AX31" s="51">
        <f t="shared" si="30"/>
        <v>0</v>
      </c>
      <c r="AY31" s="52">
        <f t="shared" si="30"/>
        <v>0</v>
      </c>
      <c r="AZ31" s="53">
        <f t="shared" si="30"/>
        <v>0</v>
      </c>
      <c r="BA31" s="51">
        <f t="shared" si="30"/>
        <v>0</v>
      </c>
      <c r="BB31" s="52">
        <f t="shared" si="30"/>
        <v>0</v>
      </c>
      <c r="BC31" s="53">
        <f t="shared" si="30"/>
        <v>0</v>
      </c>
      <c r="BD31" s="51">
        <f t="shared" si="30"/>
        <v>0</v>
      </c>
      <c r="BE31" s="52">
        <f t="shared" si="30"/>
        <v>0</v>
      </c>
      <c r="BF31" s="53">
        <f t="shared" si="30"/>
        <v>0</v>
      </c>
      <c r="BG31" s="51">
        <f t="shared" si="30"/>
        <v>0</v>
      </c>
      <c r="BH31" s="52">
        <f t="shared" si="30"/>
        <v>0</v>
      </c>
      <c r="BI31" s="53">
        <f t="shared" si="30"/>
        <v>0</v>
      </c>
      <c r="BJ31" s="51">
        <f t="shared" si="30"/>
        <v>0</v>
      </c>
      <c r="BK31" s="52">
        <f t="shared" si="28"/>
        <v>0</v>
      </c>
      <c r="BL31" s="53">
        <f t="shared" si="28"/>
        <v>0</v>
      </c>
      <c r="BM31" s="51">
        <f t="shared" si="28"/>
        <v>0</v>
      </c>
      <c r="BN31" s="52">
        <f t="shared" si="28"/>
        <v>0</v>
      </c>
      <c r="BO31" s="53">
        <f t="shared" si="28"/>
        <v>0</v>
      </c>
      <c r="BP31" s="51">
        <f t="shared" si="28"/>
        <v>0</v>
      </c>
      <c r="BQ31" s="52">
        <f t="shared" si="28"/>
        <v>0</v>
      </c>
      <c r="BR31" s="53">
        <f t="shared" si="28"/>
        <v>0</v>
      </c>
      <c r="BS31" s="51">
        <f t="shared" si="28"/>
        <v>0</v>
      </c>
      <c r="BT31" s="52">
        <f t="shared" si="28"/>
        <v>0</v>
      </c>
      <c r="BU31" s="53">
        <f t="shared" si="28"/>
        <v>0</v>
      </c>
      <c r="BV31" s="51">
        <f t="shared" si="28"/>
        <v>0</v>
      </c>
      <c r="BW31" s="52">
        <f t="shared" si="28"/>
        <v>0</v>
      </c>
      <c r="BX31" s="53">
        <f t="shared" si="28"/>
        <v>0</v>
      </c>
      <c r="BY31" s="51">
        <f t="shared" si="28"/>
        <v>0</v>
      </c>
      <c r="BZ31" s="52">
        <f t="shared" si="28"/>
        <v>0</v>
      </c>
      <c r="CA31" s="53">
        <f t="shared" si="31"/>
        <v>0</v>
      </c>
      <c r="CB31" s="51">
        <f t="shared" si="31"/>
        <v>0</v>
      </c>
      <c r="CC31" s="52">
        <f t="shared" si="31"/>
        <v>0</v>
      </c>
      <c r="CD31" s="53">
        <f t="shared" si="31"/>
        <v>0</v>
      </c>
      <c r="CE31" s="51">
        <f t="shared" si="31"/>
        <v>0</v>
      </c>
      <c r="CF31" s="52">
        <f t="shared" si="31"/>
        <v>0</v>
      </c>
      <c r="CG31" s="53">
        <f t="shared" si="31"/>
        <v>0</v>
      </c>
      <c r="CH31" s="51">
        <f t="shared" si="31"/>
        <v>0</v>
      </c>
      <c r="CI31" s="52">
        <f t="shared" si="31"/>
        <v>0</v>
      </c>
      <c r="CJ31" s="40"/>
      <c r="CK31" s="54">
        <f t="shared" si="13"/>
        <v>0</v>
      </c>
      <c r="CL31" s="54">
        <f t="shared" si="14"/>
        <v>0</v>
      </c>
      <c r="CM31" s="54">
        <f t="shared" si="15"/>
        <v>0</v>
      </c>
      <c r="CN31" s="54">
        <f t="shared" si="16"/>
        <v>0</v>
      </c>
      <c r="CO31" s="54">
        <f t="shared" si="17"/>
        <v>0</v>
      </c>
      <c r="CP31" s="54">
        <f t="shared" si="18"/>
        <v>98000</v>
      </c>
      <c r="CQ31" s="54">
        <f t="shared" si="19"/>
        <v>0</v>
      </c>
      <c r="CR31" s="54">
        <f t="shared" si="20"/>
        <v>0</v>
      </c>
      <c r="CS31" s="55">
        <f t="shared" si="33"/>
        <v>0</v>
      </c>
      <c r="CT31" s="55">
        <f t="shared" si="33"/>
        <v>0</v>
      </c>
      <c r="CU31" s="55">
        <f t="shared" si="33"/>
        <v>0</v>
      </c>
      <c r="CV31" s="55">
        <f t="shared" si="33"/>
        <v>0</v>
      </c>
      <c r="CW31" s="55">
        <f t="shared" si="33"/>
        <v>0</v>
      </c>
      <c r="CX31" s="55">
        <f t="shared" si="33"/>
        <v>0</v>
      </c>
      <c r="CY31" s="55">
        <f t="shared" si="33"/>
        <v>0</v>
      </c>
      <c r="CZ31" s="55">
        <f t="shared" si="33"/>
        <v>0</v>
      </c>
      <c r="DA31" s="55">
        <f t="shared" si="33"/>
        <v>0</v>
      </c>
      <c r="DB31" s="55">
        <f t="shared" si="33"/>
        <v>0</v>
      </c>
      <c r="DC31" s="55">
        <f t="shared" si="33"/>
        <v>0</v>
      </c>
      <c r="DD31" s="55">
        <f t="shared" si="33"/>
        <v>0</v>
      </c>
      <c r="DE31" s="55">
        <f t="shared" si="33"/>
        <v>0</v>
      </c>
      <c r="DF31" s="55">
        <f t="shared" si="33"/>
        <v>0</v>
      </c>
      <c r="DG31" s="55">
        <f t="shared" si="33"/>
        <v>0</v>
      </c>
      <c r="DH31" s="55">
        <f t="shared" si="33"/>
        <v>0</v>
      </c>
      <c r="DI31" s="40"/>
      <c r="DJ31" s="54">
        <f t="shared" si="32"/>
        <v>0</v>
      </c>
      <c r="DK31" s="56">
        <f t="shared" si="32"/>
        <v>98000</v>
      </c>
      <c r="DL31" s="57">
        <f t="shared" si="32"/>
        <v>0</v>
      </c>
      <c r="DM31" s="57">
        <f t="shared" si="32"/>
        <v>0</v>
      </c>
      <c r="DN31" s="57">
        <f t="shared" si="32"/>
        <v>0</v>
      </c>
      <c r="DO31" s="58">
        <f t="shared" si="32"/>
        <v>0</v>
      </c>
    </row>
    <row r="32" spans="1:119" s="100" customFormat="1" ht="14.45">
      <c r="A32" s="100">
        <f t="shared" si="23"/>
        <v>24</v>
      </c>
      <c r="B32" s="100" t="s">
        <v>165</v>
      </c>
      <c r="C32" s="100">
        <v>40000</v>
      </c>
      <c r="D32" s="100" t="s">
        <v>166</v>
      </c>
      <c r="E32" s="101" t="s">
        <v>165</v>
      </c>
      <c r="F32" s="102" t="str">
        <f t="shared" si="24"/>
        <v>4000</v>
      </c>
      <c r="G32" s="100" t="s">
        <v>184</v>
      </c>
      <c r="H32" s="102" t="str">
        <f t="shared" si="7"/>
        <v>I0002</v>
      </c>
      <c r="I32" s="100" t="s">
        <v>192</v>
      </c>
      <c r="K32" s="103" t="s">
        <v>201</v>
      </c>
      <c r="L32" s="104">
        <v>46266</v>
      </c>
      <c r="M32" s="105">
        <v>150000</v>
      </c>
      <c r="N32" s="106">
        <v>120</v>
      </c>
      <c r="O32" s="107">
        <f t="shared" si="25"/>
        <v>49888</v>
      </c>
      <c r="P32" s="108">
        <f t="shared" si="29"/>
        <v>0</v>
      </c>
      <c r="Q32" s="108">
        <f t="shared" si="29"/>
        <v>0</v>
      </c>
      <c r="R32" s="109">
        <f t="shared" si="29"/>
        <v>0</v>
      </c>
      <c r="S32" s="110">
        <f t="shared" si="29"/>
        <v>0</v>
      </c>
      <c r="T32" s="108">
        <f t="shared" si="29"/>
        <v>0</v>
      </c>
      <c r="U32" s="109">
        <f t="shared" si="29"/>
        <v>0</v>
      </c>
      <c r="V32" s="110">
        <f t="shared" si="29"/>
        <v>0</v>
      </c>
      <c r="W32" s="108">
        <f t="shared" si="29"/>
        <v>0</v>
      </c>
      <c r="X32" s="109">
        <f t="shared" si="29"/>
        <v>0</v>
      </c>
      <c r="Y32" s="110">
        <f t="shared" si="29"/>
        <v>0</v>
      </c>
      <c r="Z32" s="108">
        <f t="shared" si="29"/>
        <v>0</v>
      </c>
      <c r="AA32" s="109">
        <f t="shared" si="29"/>
        <v>0</v>
      </c>
      <c r="AB32" s="110">
        <f t="shared" si="29"/>
        <v>0</v>
      </c>
      <c r="AC32" s="108">
        <f t="shared" si="29"/>
        <v>0</v>
      </c>
      <c r="AD32" s="109">
        <f t="shared" si="29"/>
        <v>0</v>
      </c>
      <c r="AE32" s="110">
        <f t="shared" si="29"/>
        <v>0</v>
      </c>
      <c r="AF32" s="108">
        <f t="shared" si="27"/>
        <v>0</v>
      </c>
      <c r="AG32" s="109">
        <f t="shared" si="27"/>
        <v>0</v>
      </c>
      <c r="AH32" s="110">
        <f t="shared" si="27"/>
        <v>0</v>
      </c>
      <c r="AI32" s="108">
        <f t="shared" si="27"/>
        <v>0</v>
      </c>
      <c r="AJ32" s="109">
        <f t="shared" si="27"/>
        <v>150000</v>
      </c>
      <c r="AK32" s="110">
        <f t="shared" si="27"/>
        <v>0</v>
      </c>
      <c r="AL32" s="108">
        <f t="shared" si="27"/>
        <v>0</v>
      </c>
      <c r="AM32" s="109">
        <f t="shared" si="27"/>
        <v>0</v>
      </c>
      <c r="AN32" s="110">
        <f t="shared" si="27"/>
        <v>0</v>
      </c>
      <c r="AO32" s="108">
        <f t="shared" si="27"/>
        <v>0</v>
      </c>
      <c r="AP32" s="109">
        <f t="shared" si="27"/>
        <v>0</v>
      </c>
      <c r="AQ32" s="110">
        <f t="shared" si="27"/>
        <v>0</v>
      </c>
      <c r="AR32" s="108">
        <f t="shared" si="27"/>
        <v>0</v>
      </c>
      <c r="AS32" s="109">
        <f t="shared" si="27"/>
        <v>0</v>
      </c>
      <c r="AT32" s="110">
        <f t="shared" si="27"/>
        <v>0</v>
      </c>
      <c r="AU32" s="108">
        <f t="shared" si="30"/>
        <v>0</v>
      </c>
      <c r="AV32" s="109">
        <f t="shared" si="30"/>
        <v>0</v>
      </c>
      <c r="AW32" s="110">
        <f t="shared" si="30"/>
        <v>0</v>
      </c>
      <c r="AX32" s="108">
        <f t="shared" si="30"/>
        <v>0</v>
      </c>
      <c r="AY32" s="109">
        <f t="shared" si="30"/>
        <v>0</v>
      </c>
      <c r="AZ32" s="110">
        <f t="shared" si="30"/>
        <v>0</v>
      </c>
      <c r="BA32" s="108">
        <f t="shared" si="30"/>
        <v>0</v>
      </c>
      <c r="BB32" s="109">
        <f t="shared" si="30"/>
        <v>0</v>
      </c>
      <c r="BC32" s="110">
        <f t="shared" si="30"/>
        <v>0</v>
      </c>
      <c r="BD32" s="108">
        <f t="shared" si="30"/>
        <v>0</v>
      </c>
      <c r="BE32" s="109">
        <f t="shared" si="30"/>
        <v>0</v>
      </c>
      <c r="BF32" s="110">
        <f t="shared" si="30"/>
        <v>0</v>
      </c>
      <c r="BG32" s="108">
        <f t="shared" si="30"/>
        <v>0</v>
      </c>
      <c r="BH32" s="109">
        <f t="shared" si="30"/>
        <v>0</v>
      </c>
      <c r="BI32" s="110">
        <f t="shared" si="30"/>
        <v>0</v>
      </c>
      <c r="BJ32" s="108">
        <f t="shared" si="30"/>
        <v>0</v>
      </c>
      <c r="BK32" s="109">
        <f t="shared" si="28"/>
        <v>0</v>
      </c>
      <c r="BL32" s="110">
        <f t="shared" si="28"/>
        <v>0</v>
      </c>
      <c r="BM32" s="108">
        <f t="shared" si="28"/>
        <v>0</v>
      </c>
      <c r="BN32" s="109">
        <f t="shared" si="28"/>
        <v>0</v>
      </c>
      <c r="BO32" s="110">
        <f t="shared" si="28"/>
        <v>0</v>
      </c>
      <c r="BP32" s="108">
        <f t="shared" si="28"/>
        <v>0</v>
      </c>
      <c r="BQ32" s="109">
        <f t="shared" si="28"/>
        <v>0</v>
      </c>
      <c r="BR32" s="110">
        <f t="shared" si="28"/>
        <v>0</v>
      </c>
      <c r="BS32" s="108">
        <f t="shared" si="28"/>
        <v>0</v>
      </c>
      <c r="BT32" s="109">
        <f t="shared" si="28"/>
        <v>0</v>
      </c>
      <c r="BU32" s="110">
        <f t="shared" si="28"/>
        <v>0</v>
      </c>
      <c r="BV32" s="108">
        <f t="shared" si="28"/>
        <v>0</v>
      </c>
      <c r="BW32" s="109">
        <f t="shared" si="28"/>
        <v>0</v>
      </c>
      <c r="BX32" s="110">
        <f t="shared" si="28"/>
        <v>0</v>
      </c>
      <c r="BY32" s="108">
        <f t="shared" si="28"/>
        <v>0</v>
      </c>
      <c r="BZ32" s="109">
        <f t="shared" si="28"/>
        <v>0</v>
      </c>
      <c r="CA32" s="110">
        <f t="shared" si="31"/>
        <v>0</v>
      </c>
      <c r="CB32" s="108">
        <f t="shared" si="31"/>
        <v>0</v>
      </c>
      <c r="CC32" s="109">
        <f t="shared" si="31"/>
        <v>0</v>
      </c>
      <c r="CD32" s="110">
        <f t="shared" si="31"/>
        <v>0</v>
      </c>
      <c r="CE32" s="108">
        <f t="shared" si="31"/>
        <v>0</v>
      </c>
      <c r="CF32" s="109">
        <f t="shared" si="31"/>
        <v>0</v>
      </c>
      <c r="CG32" s="110">
        <f t="shared" si="31"/>
        <v>0</v>
      </c>
      <c r="CH32" s="108">
        <f t="shared" si="31"/>
        <v>0</v>
      </c>
      <c r="CI32" s="109">
        <f t="shared" si="31"/>
        <v>0</v>
      </c>
      <c r="CJ32" s="111"/>
      <c r="CK32" s="112">
        <f t="shared" si="13"/>
        <v>0</v>
      </c>
      <c r="CL32" s="112">
        <f t="shared" si="14"/>
        <v>0</v>
      </c>
      <c r="CM32" s="112">
        <f t="shared" si="15"/>
        <v>0</v>
      </c>
      <c r="CN32" s="112">
        <f t="shared" si="16"/>
        <v>0</v>
      </c>
      <c r="CO32" s="112">
        <f t="shared" si="17"/>
        <v>0</v>
      </c>
      <c r="CP32" s="112">
        <f t="shared" si="18"/>
        <v>0</v>
      </c>
      <c r="CQ32" s="112">
        <f t="shared" si="19"/>
        <v>150000</v>
      </c>
      <c r="CR32" s="112">
        <f t="shared" si="20"/>
        <v>0</v>
      </c>
      <c r="CS32" s="114">
        <f t="shared" si="33"/>
        <v>0</v>
      </c>
      <c r="CT32" s="114">
        <f t="shared" si="33"/>
        <v>0</v>
      </c>
      <c r="CU32" s="114">
        <f t="shared" si="33"/>
        <v>0</v>
      </c>
      <c r="CV32" s="114">
        <f t="shared" si="33"/>
        <v>0</v>
      </c>
      <c r="CW32" s="114">
        <f t="shared" si="33"/>
        <v>0</v>
      </c>
      <c r="CX32" s="114">
        <f t="shared" si="33"/>
        <v>0</v>
      </c>
      <c r="CY32" s="114">
        <f t="shared" si="33"/>
        <v>0</v>
      </c>
      <c r="CZ32" s="114">
        <f t="shared" si="33"/>
        <v>0</v>
      </c>
      <c r="DA32" s="114">
        <f t="shared" si="33"/>
        <v>0</v>
      </c>
      <c r="DB32" s="114">
        <f t="shared" si="33"/>
        <v>0</v>
      </c>
      <c r="DC32" s="114">
        <f t="shared" si="33"/>
        <v>0</v>
      </c>
      <c r="DD32" s="114">
        <f t="shared" si="33"/>
        <v>0</v>
      </c>
      <c r="DE32" s="114">
        <f t="shared" si="33"/>
        <v>0</v>
      </c>
      <c r="DF32" s="114">
        <f t="shared" si="33"/>
        <v>0</v>
      </c>
      <c r="DG32" s="114">
        <f t="shared" si="33"/>
        <v>0</v>
      </c>
      <c r="DH32" s="114">
        <f t="shared" si="33"/>
        <v>0</v>
      </c>
      <c r="DI32" s="111"/>
      <c r="DJ32" s="112">
        <f t="shared" si="32"/>
        <v>0</v>
      </c>
      <c r="DK32" s="115">
        <f t="shared" si="32"/>
        <v>150000</v>
      </c>
      <c r="DL32" s="116">
        <f t="shared" si="32"/>
        <v>0</v>
      </c>
      <c r="DM32" s="116">
        <f t="shared" si="32"/>
        <v>0</v>
      </c>
      <c r="DN32" s="116">
        <f t="shared" si="32"/>
        <v>0</v>
      </c>
      <c r="DO32" s="117">
        <f t="shared" si="32"/>
        <v>0</v>
      </c>
    </row>
    <row r="33" spans="1:119" ht="14.45">
      <c r="A33" s="23">
        <f>A28+1</f>
        <v>23</v>
      </c>
      <c r="B33" s="23" t="s">
        <v>165</v>
      </c>
      <c r="C33" s="23">
        <v>40000</v>
      </c>
      <c r="D33" s="23" t="s">
        <v>166</v>
      </c>
      <c r="E33" s="44" t="s">
        <v>165</v>
      </c>
      <c r="F33" s="45" t="str">
        <f t="shared" si="24"/>
        <v>4800</v>
      </c>
      <c r="G33" s="23" t="s">
        <v>167</v>
      </c>
      <c r="H33" s="45" t="str">
        <f t="shared" si="7"/>
        <v>M9002</v>
      </c>
      <c r="I33" s="23" t="s">
        <v>197</v>
      </c>
      <c r="J33" s="23" t="s">
        <v>3</v>
      </c>
      <c r="K33" s="46" t="s">
        <v>202</v>
      </c>
      <c r="L33" s="47">
        <v>46447</v>
      </c>
      <c r="M33" s="48">
        <v>250000</v>
      </c>
      <c r="N33" s="49">
        <v>120</v>
      </c>
      <c r="O33" s="50">
        <f t="shared" si="25"/>
        <v>50072</v>
      </c>
      <c r="P33" s="51">
        <f t="shared" si="29"/>
        <v>0</v>
      </c>
      <c r="Q33" s="51">
        <f t="shared" si="29"/>
        <v>0</v>
      </c>
      <c r="R33" s="52">
        <f t="shared" si="29"/>
        <v>0</v>
      </c>
      <c r="S33" s="53">
        <f t="shared" si="29"/>
        <v>0</v>
      </c>
      <c r="T33" s="51">
        <f t="shared" si="29"/>
        <v>0</v>
      </c>
      <c r="U33" s="52">
        <f t="shared" si="29"/>
        <v>0</v>
      </c>
      <c r="V33" s="53">
        <f t="shared" si="29"/>
        <v>0</v>
      </c>
      <c r="W33" s="51">
        <f t="shared" si="29"/>
        <v>0</v>
      </c>
      <c r="X33" s="52">
        <f t="shared" si="29"/>
        <v>0</v>
      </c>
      <c r="Y33" s="53">
        <f t="shared" si="29"/>
        <v>0</v>
      </c>
      <c r="Z33" s="51">
        <f t="shared" si="29"/>
        <v>0</v>
      </c>
      <c r="AA33" s="52">
        <f t="shared" si="29"/>
        <v>0</v>
      </c>
      <c r="AB33" s="53">
        <f t="shared" si="29"/>
        <v>0</v>
      </c>
      <c r="AC33" s="51">
        <f t="shared" si="29"/>
        <v>0</v>
      </c>
      <c r="AD33" s="52">
        <f t="shared" si="29"/>
        <v>0</v>
      </c>
      <c r="AE33" s="53">
        <f t="shared" si="29"/>
        <v>0</v>
      </c>
      <c r="AF33" s="51">
        <f t="shared" si="27"/>
        <v>0</v>
      </c>
      <c r="AG33" s="52">
        <f t="shared" si="27"/>
        <v>0</v>
      </c>
      <c r="AH33" s="53">
        <f t="shared" si="27"/>
        <v>0</v>
      </c>
      <c r="AI33" s="51">
        <f t="shared" si="27"/>
        <v>0</v>
      </c>
      <c r="AJ33" s="52">
        <f t="shared" si="27"/>
        <v>0</v>
      </c>
      <c r="AK33" s="53">
        <f t="shared" si="27"/>
        <v>0</v>
      </c>
      <c r="AL33" s="51">
        <f t="shared" si="27"/>
        <v>0</v>
      </c>
      <c r="AM33" s="52">
        <f t="shared" si="27"/>
        <v>0</v>
      </c>
      <c r="AN33" s="53">
        <f t="shared" si="27"/>
        <v>0</v>
      </c>
      <c r="AO33" s="51">
        <f t="shared" si="27"/>
        <v>0</v>
      </c>
      <c r="AP33" s="52">
        <f t="shared" si="27"/>
        <v>250000</v>
      </c>
      <c r="AQ33" s="53">
        <f t="shared" si="27"/>
        <v>0</v>
      </c>
      <c r="AR33" s="51">
        <f t="shared" si="27"/>
        <v>0</v>
      </c>
      <c r="AS33" s="52">
        <f t="shared" si="27"/>
        <v>0</v>
      </c>
      <c r="AT33" s="53">
        <f t="shared" si="27"/>
        <v>0</v>
      </c>
      <c r="AU33" s="51">
        <f t="shared" si="30"/>
        <v>0</v>
      </c>
      <c r="AV33" s="52">
        <f t="shared" si="30"/>
        <v>0</v>
      </c>
      <c r="AW33" s="53">
        <f t="shared" si="30"/>
        <v>0</v>
      </c>
      <c r="AX33" s="51">
        <f t="shared" si="30"/>
        <v>0</v>
      </c>
      <c r="AY33" s="52">
        <f t="shared" si="30"/>
        <v>0</v>
      </c>
      <c r="AZ33" s="53">
        <f t="shared" si="30"/>
        <v>0</v>
      </c>
      <c r="BA33" s="51">
        <f t="shared" si="30"/>
        <v>0</v>
      </c>
      <c r="BB33" s="52">
        <f t="shared" si="30"/>
        <v>0</v>
      </c>
      <c r="BC33" s="53">
        <f t="shared" si="30"/>
        <v>0</v>
      </c>
      <c r="BD33" s="51">
        <f t="shared" si="30"/>
        <v>0</v>
      </c>
      <c r="BE33" s="52">
        <f t="shared" si="30"/>
        <v>0</v>
      </c>
      <c r="BF33" s="53">
        <f t="shared" si="30"/>
        <v>0</v>
      </c>
      <c r="BG33" s="51">
        <f t="shared" si="30"/>
        <v>0</v>
      </c>
      <c r="BH33" s="52">
        <f t="shared" si="30"/>
        <v>0</v>
      </c>
      <c r="BI33" s="53">
        <f t="shared" si="30"/>
        <v>0</v>
      </c>
      <c r="BJ33" s="51">
        <f t="shared" si="30"/>
        <v>0</v>
      </c>
      <c r="BK33" s="52">
        <f t="shared" si="28"/>
        <v>0</v>
      </c>
      <c r="BL33" s="53">
        <f t="shared" si="28"/>
        <v>0</v>
      </c>
      <c r="BM33" s="51">
        <f t="shared" si="28"/>
        <v>0</v>
      </c>
      <c r="BN33" s="52">
        <f t="shared" si="28"/>
        <v>0</v>
      </c>
      <c r="BO33" s="53">
        <f t="shared" si="28"/>
        <v>0</v>
      </c>
      <c r="BP33" s="51">
        <f t="shared" si="28"/>
        <v>0</v>
      </c>
      <c r="BQ33" s="52">
        <f t="shared" si="28"/>
        <v>0</v>
      </c>
      <c r="BR33" s="53">
        <f t="shared" si="28"/>
        <v>0</v>
      </c>
      <c r="BS33" s="51">
        <f t="shared" si="28"/>
        <v>0</v>
      </c>
      <c r="BT33" s="52">
        <f t="shared" si="28"/>
        <v>0</v>
      </c>
      <c r="BU33" s="53">
        <f t="shared" si="28"/>
        <v>0</v>
      </c>
      <c r="BV33" s="51">
        <f t="shared" si="28"/>
        <v>0</v>
      </c>
      <c r="BW33" s="52">
        <f t="shared" si="28"/>
        <v>0</v>
      </c>
      <c r="BX33" s="53">
        <f t="shared" si="28"/>
        <v>0</v>
      </c>
      <c r="BY33" s="51">
        <f t="shared" si="28"/>
        <v>0</v>
      </c>
      <c r="BZ33" s="52">
        <f t="shared" si="28"/>
        <v>0</v>
      </c>
      <c r="CA33" s="53">
        <f t="shared" si="31"/>
        <v>0</v>
      </c>
      <c r="CB33" s="51">
        <f t="shared" si="31"/>
        <v>0</v>
      </c>
      <c r="CC33" s="52">
        <f t="shared" si="31"/>
        <v>0</v>
      </c>
      <c r="CD33" s="53">
        <f t="shared" si="31"/>
        <v>0</v>
      </c>
      <c r="CE33" s="51">
        <f t="shared" si="31"/>
        <v>0</v>
      </c>
      <c r="CF33" s="52">
        <f t="shared" si="31"/>
        <v>0</v>
      </c>
      <c r="CG33" s="53">
        <f t="shared" si="31"/>
        <v>0</v>
      </c>
      <c r="CH33" s="51">
        <f t="shared" si="31"/>
        <v>0</v>
      </c>
      <c r="CI33" s="52">
        <f t="shared" si="31"/>
        <v>0</v>
      </c>
      <c r="CJ33" s="40"/>
      <c r="CK33" s="54">
        <f t="shared" si="13"/>
        <v>0</v>
      </c>
      <c r="CL33" s="54">
        <f t="shared" si="14"/>
        <v>0</v>
      </c>
      <c r="CM33" s="54">
        <f t="shared" si="15"/>
        <v>0</v>
      </c>
      <c r="CN33" s="54">
        <f t="shared" si="16"/>
        <v>0</v>
      </c>
      <c r="CO33" s="54">
        <f t="shared" si="17"/>
        <v>0</v>
      </c>
      <c r="CP33" s="54">
        <f t="shared" si="18"/>
        <v>0</v>
      </c>
      <c r="CQ33" s="54">
        <f t="shared" si="19"/>
        <v>0</v>
      </c>
      <c r="CR33" s="54">
        <f t="shared" si="20"/>
        <v>0</v>
      </c>
      <c r="CS33" s="55">
        <f t="shared" si="33"/>
        <v>250000</v>
      </c>
      <c r="CT33" s="55">
        <f t="shared" si="33"/>
        <v>0</v>
      </c>
      <c r="CU33" s="55">
        <f t="shared" si="33"/>
        <v>0</v>
      </c>
      <c r="CV33" s="55">
        <f t="shared" si="33"/>
        <v>0</v>
      </c>
      <c r="CW33" s="55">
        <f t="shared" si="33"/>
        <v>0</v>
      </c>
      <c r="CX33" s="55">
        <f t="shared" si="33"/>
        <v>0</v>
      </c>
      <c r="CY33" s="55">
        <f t="shared" si="33"/>
        <v>0</v>
      </c>
      <c r="CZ33" s="55">
        <f t="shared" si="33"/>
        <v>0</v>
      </c>
      <c r="DA33" s="55">
        <f t="shared" si="33"/>
        <v>0</v>
      </c>
      <c r="DB33" s="55">
        <f t="shared" si="33"/>
        <v>0</v>
      </c>
      <c r="DC33" s="55">
        <f t="shared" si="33"/>
        <v>0</v>
      </c>
      <c r="DD33" s="55">
        <f t="shared" si="33"/>
        <v>0</v>
      </c>
      <c r="DE33" s="55">
        <f t="shared" si="33"/>
        <v>0</v>
      </c>
      <c r="DF33" s="55">
        <f t="shared" si="33"/>
        <v>0</v>
      </c>
      <c r="DG33" s="55">
        <f t="shared" si="33"/>
        <v>0</v>
      </c>
      <c r="DH33" s="55">
        <f t="shared" si="33"/>
        <v>0</v>
      </c>
      <c r="DI33" s="40"/>
      <c r="DJ33" s="54">
        <f t="shared" si="32"/>
        <v>0</v>
      </c>
      <c r="DK33" s="56">
        <f t="shared" si="32"/>
        <v>0</v>
      </c>
      <c r="DL33" s="57">
        <f t="shared" si="32"/>
        <v>250000</v>
      </c>
      <c r="DM33" s="57">
        <f t="shared" si="32"/>
        <v>0</v>
      </c>
      <c r="DN33" s="57">
        <f t="shared" si="32"/>
        <v>0</v>
      </c>
      <c r="DO33" s="58">
        <f t="shared" si="32"/>
        <v>0</v>
      </c>
    </row>
    <row r="34" spans="1:119" ht="14.45">
      <c r="A34" s="23">
        <f t="shared" si="23"/>
        <v>24</v>
      </c>
      <c r="B34" s="23" t="s">
        <v>165</v>
      </c>
      <c r="C34" s="23">
        <v>40000</v>
      </c>
      <c r="D34" s="23" t="s">
        <v>166</v>
      </c>
      <c r="E34" s="44" t="s">
        <v>165</v>
      </c>
      <c r="F34" s="45" t="str">
        <f>IF(G34="","",LEFT(G34,4))</f>
        <v>4800</v>
      </c>
      <c r="G34" s="23" t="s">
        <v>167</v>
      </c>
      <c r="H34" s="45" t="str">
        <f>IF(I34="","",LEFT(I34,5))</f>
        <v>M9003</v>
      </c>
      <c r="I34" s="23" t="s">
        <v>203</v>
      </c>
      <c r="J34" s="23" t="s">
        <v>4</v>
      </c>
      <c r="K34" s="46" t="s">
        <v>204</v>
      </c>
      <c r="L34" s="47">
        <v>46296</v>
      </c>
      <c r="M34" s="48">
        <v>180000</v>
      </c>
      <c r="N34" s="49">
        <v>120</v>
      </c>
      <c r="O34" s="50">
        <f t="shared" si="25"/>
        <v>49919</v>
      </c>
      <c r="P34" s="51">
        <f t="shared" si="29"/>
        <v>0</v>
      </c>
      <c r="Q34" s="51">
        <f t="shared" si="29"/>
        <v>0</v>
      </c>
      <c r="R34" s="52">
        <f t="shared" si="29"/>
        <v>0</v>
      </c>
      <c r="S34" s="53">
        <f t="shared" si="29"/>
        <v>0</v>
      </c>
      <c r="T34" s="51">
        <f t="shared" si="29"/>
        <v>0</v>
      </c>
      <c r="U34" s="52">
        <f t="shared" si="29"/>
        <v>0</v>
      </c>
      <c r="V34" s="53">
        <f t="shared" si="29"/>
        <v>0</v>
      </c>
      <c r="W34" s="51">
        <f t="shared" si="29"/>
        <v>0</v>
      </c>
      <c r="X34" s="52">
        <f t="shared" si="29"/>
        <v>0</v>
      </c>
      <c r="Y34" s="53">
        <f t="shared" si="29"/>
        <v>0</v>
      </c>
      <c r="Z34" s="51">
        <f t="shared" si="29"/>
        <v>0</v>
      </c>
      <c r="AA34" s="52">
        <f t="shared" si="29"/>
        <v>0</v>
      </c>
      <c r="AB34" s="53">
        <f t="shared" si="29"/>
        <v>0</v>
      </c>
      <c r="AC34" s="51">
        <f t="shared" si="29"/>
        <v>0</v>
      </c>
      <c r="AD34" s="52">
        <f t="shared" si="29"/>
        <v>0</v>
      </c>
      <c r="AE34" s="53">
        <f t="shared" si="29"/>
        <v>0</v>
      </c>
      <c r="AF34" s="51">
        <f t="shared" si="27"/>
        <v>0</v>
      </c>
      <c r="AG34" s="52">
        <f t="shared" si="27"/>
        <v>0</v>
      </c>
      <c r="AH34" s="53">
        <f t="shared" si="27"/>
        <v>0</v>
      </c>
      <c r="AI34" s="51">
        <f t="shared" si="27"/>
        <v>0</v>
      </c>
      <c r="AJ34" s="52">
        <f t="shared" si="27"/>
        <v>0</v>
      </c>
      <c r="AK34" s="53">
        <f t="shared" si="27"/>
        <v>180000</v>
      </c>
      <c r="AL34" s="51">
        <f t="shared" si="27"/>
        <v>0</v>
      </c>
      <c r="AM34" s="52">
        <f t="shared" si="27"/>
        <v>0</v>
      </c>
      <c r="AN34" s="53">
        <f t="shared" si="27"/>
        <v>0</v>
      </c>
      <c r="AO34" s="51">
        <f t="shared" si="27"/>
        <v>0</v>
      </c>
      <c r="AP34" s="52">
        <f t="shared" si="27"/>
        <v>0</v>
      </c>
      <c r="AQ34" s="53">
        <f t="shared" si="27"/>
        <v>0</v>
      </c>
      <c r="AR34" s="51">
        <f t="shared" si="27"/>
        <v>0</v>
      </c>
      <c r="AS34" s="52">
        <f t="shared" si="27"/>
        <v>0</v>
      </c>
      <c r="AT34" s="53">
        <f t="shared" si="27"/>
        <v>0</v>
      </c>
      <c r="AU34" s="51">
        <f t="shared" si="30"/>
        <v>0</v>
      </c>
      <c r="AV34" s="52">
        <f t="shared" si="30"/>
        <v>0</v>
      </c>
      <c r="AW34" s="53">
        <f t="shared" si="30"/>
        <v>0</v>
      </c>
      <c r="AX34" s="51">
        <f t="shared" si="30"/>
        <v>0</v>
      </c>
      <c r="AY34" s="52">
        <f t="shared" si="30"/>
        <v>0</v>
      </c>
      <c r="AZ34" s="53">
        <f t="shared" si="30"/>
        <v>0</v>
      </c>
      <c r="BA34" s="51">
        <f t="shared" si="30"/>
        <v>0</v>
      </c>
      <c r="BB34" s="52">
        <f t="shared" si="30"/>
        <v>0</v>
      </c>
      <c r="BC34" s="53">
        <f t="shared" si="30"/>
        <v>0</v>
      </c>
      <c r="BD34" s="51">
        <f t="shared" si="30"/>
        <v>0</v>
      </c>
      <c r="BE34" s="52">
        <f t="shared" si="30"/>
        <v>0</v>
      </c>
      <c r="BF34" s="53">
        <f t="shared" si="30"/>
        <v>0</v>
      </c>
      <c r="BG34" s="51">
        <f t="shared" si="30"/>
        <v>0</v>
      </c>
      <c r="BH34" s="52">
        <f t="shared" si="30"/>
        <v>0</v>
      </c>
      <c r="BI34" s="53">
        <f t="shared" si="30"/>
        <v>0</v>
      </c>
      <c r="BJ34" s="51">
        <f t="shared" si="30"/>
        <v>0</v>
      </c>
      <c r="BK34" s="52">
        <f t="shared" si="28"/>
        <v>0</v>
      </c>
      <c r="BL34" s="53">
        <f t="shared" si="28"/>
        <v>0</v>
      </c>
      <c r="BM34" s="51">
        <f t="shared" si="28"/>
        <v>0</v>
      </c>
      <c r="BN34" s="52">
        <f t="shared" si="28"/>
        <v>0</v>
      </c>
      <c r="BO34" s="53">
        <f t="shared" si="28"/>
        <v>0</v>
      </c>
      <c r="BP34" s="51">
        <f t="shared" si="28"/>
        <v>0</v>
      </c>
      <c r="BQ34" s="52">
        <f t="shared" si="28"/>
        <v>0</v>
      </c>
      <c r="BR34" s="53">
        <f t="shared" si="28"/>
        <v>0</v>
      </c>
      <c r="BS34" s="51">
        <f t="shared" si="28"/>
        <v>0</v>
      </c>
      <c r="BT34" s="52">
        <f t="shared" si="28"/>
        <v>0</v>
      </c>
      <c r="BU34" s="53">
        <f t="shared" si="28"/>
        <v>0</v>
      </c>
      <c r="BV34" s="51">
        <f t="shared" si="28"/>
        <v>0</v>
      </c>
      <c r="BW34" s="52">
        <f t="shared" si="28"/>
        <v>0</v>
      </c>
      <c r="BX34" s="53">
        <f t="shared" si="28"/>
        <v>0</v>
      </c>
      <c r="BY34" s="51">
        <f t="shared" si="28"/>
        <v>0</v>
      </c>
      <c r="BZ34" s="52">
        <f t="shared" si="28"/>
        <v>0</v>
      </c>
      <c r="CA34" s="53">
        <f t="shared" si="31"/>
        <v>0</v>
      </c>
      <c r="CB34" s="51">
        <f t="shared" si="31"/>
        <v>0</v>
      </c>
      <c r="CC34" s="52">
        <f t="shared" si="31"/>
        <v>0</v>
      </c>
      <c r="CD34" s="53">
        <f t="shared" si="31"/>
        <v>0</v>
      </c>
      <c r="CE34" s="51">
        <f t="shared" si="31"/>
        <v>0</v>
      </c>
      <c r="CF34" s="52">
        <f t="shared" si="31"/>
        <v>0</v>
      </c>
      <c r="CG34" s="53">
        <f t="shared" si="31"/>
        <v>0</v>
      </c>
      <c r="CH34" s="51">
        <f t="shared" si="31"/>
        <v>0</v>
      </c>
      <c r="CI34" s="52">
        <f t="shared" si="31"/>
        <v>0</v>
      </c>
      <c r="CJ34" s="40"/>
      <c r="CK34" s="54">
        <f t="shared" si="13"/>
        <v>0</v>
      </c>
      <c r="CL34" s="54">
        <f t="shared" si="14"/>
        <v>0</v>
      </c>
      <c r="CM34" s="54">
        <f t="shared" si="15"/>
        <v>0</v>
      </c>
      <c r="CN34" s="54">
        <f t="shared" si="16"/>
        <v>0</v>
      </c>
      <c r="CO34" s="54">
        <f t="shared" si="17"/>
        <v>0</v>
      </c>
      <c r="CP34" s="54">
        <f t="shared" si="18"/>
        <v>0</v>
      </c>
      <c r="CQ34" s="54">
        <f t="shared" si="19"/>
        <v>0</v>
      </c>
      <c r="CR34" s="54">
        <f t="shared" si="20"/>
        <v>180000</v>
      </c>
      <c r="CS34" s="55">
        <f t="shared" si="33"/>
        <v>0</v>
      </c>
      <c r="CT34" s="55">
        <f t="shared" si="33"/>
        <v>0</v>
      </c>
      <c r="CU34" s="55">
        <f t="shared" si="33"/>
        <v>0</v>
      </c>
      <c r="CV34" s="55">
        <f t="shared" si="33"/>
        <v>0</v>
      </c>
      <c r="CW34" s="55">
        <f t="shared" si="33"/>
        <v>0</v>
      </c>
      <c r="CX34" s="55">
        <f t="shared" si="33"/>
        <v>0</v>
      </c>
      <c r="CY34" s="55">
        <f t="shared" si="33"/>
        <v>0</v>
      </c>
      <c r="CZ34" s="55">
        <f t="shared" si="33"/>
        <v>0</v>
      </c>
      <c r="DA34" s="55">
        <f t="shared" si="33"/>
        <v>0</v>
      </c>
      <c r="DB34" s="55">
        <f t="shared" si="33"/>
        <v>0</v>
      </c>
      <c r="DC34" s="55">
        <f t="shared" si="33"/>
        <v>0</v>
      </c>
      <c r="DD34" s="55">
        <f t="shared" si="33"/>
        <v>0</v>
      </c>
      <c r="DE34" s="55">
        <f t="shared" si="33"/>
        <v>0</v>
      </c>
      <c r="DF34" s="55">
        <f t="shared" si="33"/>
        <v>0</v>
      </c>
      <c r="DG34" s="55">
        <f t="shared" si="33"/>
        <v>0</v>
      </c>
      <c r="DH34" s="55">
        <f t="shared" si="33"/>
        <v>0</v>
      </c>
      <c r="DI34" s="40"/>
      <c r="DJ34" s="54">
        <f t="shared" si="32"/>
        <v>0</v>
      </c>
      <c r="DK34" s="56">
        <f t="shared" si="32"/>
        <v>180000</v>
      </c>
      <c r="DL34" s="57">
        <f t="shared" si="32"/>
        <v>0</v>
      </c>
      <c r="DM34" s="57">
        <f t="shared" si="32"/>
        <v>0</v>
      </c>
      <c r="DN34" s="57">
        <f t="shared" si="32"/>
        <v>0</v>
      </c>
      <c r="DO34" s="58">
        <f t="shared" si="32"/>
        <v>0</v>
      </c>
    </row>
    <row r="35" spans="1:119" ht="14.45">
      <c r="E35" s="44"/>
      <c r="F35" s="45"/>
      <c r="G35" s="23" t="s">
        <v>167</v>
      </c>
      <c r="H35" s="45" t="str">
        <f t="shared" ref="H35:H36" si="42">IF(I35="","",LEFT(I35,5))</f>
        <v>M9003</v>
      </c>
      <c r="I35" s="23" t="s">
        <v>203</v>
      </c>
      <c r="J35" s="23" t="s">
        <v>4</v>
      </c>
      <c r="K35" s="46" t="s">
        <v>205</v>
      </c>
      <c r="L35" s="47">
        <v>46419</v>
      </c>
      <c r="M35" s="48">
        <v>300000</v>
      </c>
      <c r="N35" s="49">
        <v>120</v>
      </c>
      <c r="O35" s="50">
        <f t="shared" si="25"/>
        <v>50041</v>
      </c>
      <c r="P35" s="51">
        <f t="shared" si="29"/>
        <v>0</v>
      </c>
      <c r="Q35" s="51">
        <f t="shared" si="29"/>
        <v>0</v>
      </c>
      <c r="R35" s="52">
        <f t="shared" si="29"/>
        <v>0</v>
      </c>
      <c r="S35" s="53">
        <f t="shared" si="29"/>
        <v>0</v>
      </c>
      <c r="T35" s="51">
        <f t="shared" si="29"/>
        <v>0</v>
      </c>
      <c r="U35" s="52">
        <f t="shared" si="29"/>
        <v>0</v>
      </c>
      <c r="V35" s="53">
        <f t="shared" si="29"/>
        <v>0</v>
      </c>
      <c r="W35" s="51">
        <f t="shared" si="29"/>
        <v>0</v>
      </c>
      <c r="X35" s="52">
        <f t="shared" si="29"/>
        <v>0</v>
      </c>
      <c r="Y35" s="53">
        <f t="shared" si="29"/>
        <v>0</v>
      </c>
      <c r="Z35" s="51">
        <f t="shared" si="29"/>
        <v>0</v>
      </c>
      <c r="AA35" s="52">
        <f t="shared" si="29"/>
        <v>0</v>
      </c>
      <c r="AB35" s="53">
        <f t="shared" si="29"/>
        <v>0</v>
      </c>
      <c r="AC35" s="51">
        <f t="shared" si="29"/>
        <v>0</v>
      </c>
      <c r="AD35" s="52">
        <f t="shared" si="29"/>
        <v>0</v>
      </c>
      <c r="AE35" s="53">
        <f t="shared" si="29"/>
        <v>0</v>
      </c>
      <c r="AF35" s="51">
        <f t="shared" si="27"/>
        <v>0</v>
      </c>
      <c r="AG35" s="52">
        <f t="shared" si="27"/>
        <v>0</v>
      </c>
      <c r="AH35" s="53">
        <f t="shared" si="27"/>
        <v>0</v>
      </c>
      <c r="AI35" s="51">
        <f t="shared" si="27"/>
        <v>0</v>
      </c>
      <c r="AJ35" s="52">
        <f t="shared" si="27"/>
        <v>0</v>
      </c>
      <c r="AK35" s="53">
        <f t="shared" si="27"/>
        <v>0</v>
      </c>
      <c r="AL35" s="51">
        <f t="shared" si="27"/>
        <v>0</v>
      </c>
      <c r="AM35" s="52">
        <f t="shared" si="27"/>
        <v>0</v>
      </c>
      <c r="AN35" s="53">
        <f t="shared" si="27"/>
        <v>0</v>
      </c>
      <c r="AO35" s="51">
        <f t="shared" si="27"/>
        <v>300000</v>
      </c>
      <c r="AP35" s="52">
        <f t="shared" si="27"/>
        <v>0</v>
      </c>
      <c r="AQ35" s="53">
        <f t="shared" si="27"/>
        <v>0</v>
      </c>
      <c r="AR35" s="51">
        <f t="shared" si="27"/>
        <v>0</v>
      </c>
      <c r="AS35" s="52">
        <f t="shared" si="27"/>
        <v>0</v>
      </c>
      <c r="AT35" s="53">
        <f t="shared" si="27"/>
        <v>0</v>
      </c>
      <c r="AU35" s="51">
        <f t="shared" si="30"/>
        <v>0</v>
      </c>
      <c r="AV35" s="52">
        <f t="shared" si="30"/>
        <v>0</v>
      </c>
      <c r="AW35" s="53">
        <f t="shared" si="30"/>
        <v>0</v>
      </c>
      <c r="AX35" s="51">
        <f t="shared" si="30"/>
        <v>0</v>
      </c>
      <c r="AY35" s="52">
        <f t="shared" si="30"/>
        <v>0</v>
      </c>
      <c r="AZ35" s="53">
        <f t="shared" si="30"/>
        <v>0</v>
      </c>
      <c r="BA35" s="51">
        <f t="shared" si="30"/>
        <v>0</v>
      </c>
      <c r="BB35" s="52">
        <f t="shared" si="30"/>
        <v>0</v>
      </c>
      <c r="BC35" s="53">
        <f t="shared" si="30"/>
        <v>0</v>
      </c>
      <c r="BD35" s="51">
        <f t="shared" si="30"/>
        <v>0</v>
      </c>
      <c r="BE35" s="52">
        <f t="shared" si="30"/>
        <v>0</v>
      </c>
      <c r="BF35" s="53">
        <f t="shared" si="30"/>
        <v>0</v>
      </c>
      <c r="BG35" s="51">
        <f t="shared" si="30"/>
        <v>0</v>
      </c>
      <c r="BH35" s="52">
        <f t="shared" si="30"/>
        <v>0</v>
      </c>
      <c r="BI35" s="53">
        <f t="shared" si="30"/>
        <v>0</v>
      </c>
      <c r="BJ35" s="51">
        <f t="shared" si="30"/>
        <v>0</v>
      </c>
      <c r="BK35" s="52">
        <f t="shared" si="28"/>
        <v>0</v>
      </c>
      <c r="BL35" s="53">
        <f t="shared" si="28"/>
        <v>0</v>
      </c>
      <c r="BM35" s="51">
        <f t="shared" si="28"/>
        <v>0</v>
      </c>
      <c r="BN35" s="52">
        <f t="shared" si="28"/>
        <v>0</v>
      </c>
      <c r="BO35" s="53">
        <f t="shared" si="28"/>
        <v>0</v>
      </c>
      <c r="BP35" s="51">
        <f t="shared" si="28"/>
        <v>0</v>
      </c>
      <c r="BQ35" s="52">
        <f t="shared" si="28"/>
        <v>0</v>
      </c>
      <c r="BR35" s="53">
        <f t="shared" si="28"/>
        <v>0</v>
      </c>
      <c r="BS35" s="51">
        <f t="shared" si="28"/>
        <v>0</v>
      </c>
      <c r="BT35" s="52">
        <f t="shared" si="28"/>
        <v>0</v>
      </c>
      <c r="BU35" s="53">
        <f t="shared" si="28"/>
        <v>0</v>
      </c>
      <c r="BV35" s="51">
        <f t="shared" si="28"/>
        <v>0</v>
      </c>
      <c r="BW35" s="52">
        <f t="shared" si="28"/>
        <v>0</v>
      </c>
      <c r="BX35" s="53">
        <f t="shared" si="28"/>
        <v>0</v>
      </c>
      <c r="BY35" s="51">
        <f t="shared" si="28"/>
        <v>0</v>
      </c>
      <c r="BZ35" s="52">
        <f t="shared" si="28"/>
        <v>0</v>
      </c>
      <c r="CA35" s="53">
        <f t="shared" si="31"/>
        <v>0</v>
      </c>
      <c r="CB35" s="51">
        <f t="shared" si="31"/>
        <v>0</v>
      </c>
      <c r="CC35" s="52">
        <f t="shared" si="31"/>
        <v>0</v>
      </c>
      <c r="CD35" s="53">
        <f t="shared" si="31"/>
        <v>0</v>
      </c>
      <c r="CE35" s="51">
        <f t="shared" si="31"/>
        <v>0</v>
      </c>
      <c r="CF35" s="52">
        <f t="shared" si="31"/>
        <v>0</v>
      </c>
      <c r="CG35" s="53">
        <f t="shared" si="31"/>
        <v>0</v>
      </c>
      <c r="CH35" s="51">
        <f t="shared" si="31"/>
        <v>0</v>
      </c>
      <c r="CI35" s="52">
        <f t="shared" si="31"/>
        <v>0</v>
      </c>
      <c r="CJ35" s="40"/>
      <c r="CK35" s="54">
        <f t="shared" si="13"/>
        <v>0</v>
      </c>
      <c r="CL35" s="54">
        <f t="shared" si="14"/>
        <v>0</v>
      </c>
      <c r="CM35" s="54">
        <f t="shared" si="15"/>
        <v>0</v>
      </c>
      <c r="CN35" s="54">
        <f t="shared" si="16"/>
        <v>0</v>
      </c>
      <c r="CO35" s="54">
        <f t="shared" si="17"/>
        <v>0</v>
      </c>
      <c r="CP35" s="54">
        <f t="shared" si="18"/>
        <v>0</v>
      </c>
      <c r="CQ35" s="54">
        <f t="shared" si="19"/>
        <v>0</v>
      </c>
      <c r="CR35" s="54">
        <f t="shared" si="20"/>
        <v>0</v>
      </c>
      <c r="CS35" s="55">
        <f t="shared" si="33"/>
        <v>300000</v>
      </c>
      <c r="CT35" s="55">
        <f t="shared" si="33"/>
        <v>0</v>
      </c>
      <c r="CU35" s="55">
        <f t="shared" si="33"/>
        <v>0</v>
      </c>
      <c r="CV35" s="55">
        <f t="shared" si="33"/>
        <v>0</v>
      </c>
      <c r="CW35" s="55">
        <f t="shared" si="33"/>
        <v>0</v>
      </c>
      <c r="CX35" s="55">
        <f t="shared" si="33"/>
        <v>0</v>
      </c>
      <c r="CY35" s="55">
        <f t="shared" si="33"/>
        <v>0</v>
      </c>
      <c r="CZ35" s="55">
        <f t="shared" si="33"/>
        <v>0</v>
      </c>
      <c r="DA35" s="55">
        <f t="shared" si="33"/>
        <v>0</v>
      </c>
      <c r="DB35" s="55">
        <f t="shared" si="33"/>
        <v>0</v>
      </c>
      <c r="DC35" s="55">
        <f t="shared" si="33"/>
        <v>0</v>
      </c>
      <c r="DD35" s="55">
        <f t="shared" si="33"/>
        <v>0</v>
      </c>
      <c r="DE35" s="55">
        <f t="shared" si="33"/>
        <v>0</v>
      </c>
      <c r="DF35" s="55">
        <f t="shared" si="33"/>
        <v>0</v>
      </c>
      <c r="DG35" s="55">
        <f t="shared" si="33"/>
        <v>0</v>
      </c>
      <c r="DH35" s="55">
        <f t="shared" si="33"/>
        <v>0</v>
      </c>
      <c r="DI35" s="40"/>
      <c r="DJ35" s="54">
        <f t="shared" si="32"/>
        <v>0</v>
      </c>
      <c r="DK35" s="56">
        <f t="shared" si="32"/>
        <v>0</v>
      </c>
      <c r="DL35" s="57">
        <f t="shared" si="32"/>
        <v>300000</v>
      </c>
      <c r="DM35" s="57">
        <f t="shared" si="32"/>
        <v>0</v>
      </c>
      <c r="DN35" s="57">
        <f t="shared" si="32"/>
        <v>0</v>
      </c>
      <c r="DO35" s="58">
        <f t="shared" si="32"/>
        <v>0</v>
      </c>
    </row>
    <row r="36" spans="1:119" ht="14.45">
      <c r="E36" s="44"/>
      <c r="F36" s="45"/>
      <c r="G36" s="23" t="s">
        <v>167</v>
      </c>
      <c r="H36" s="45" t="str">
        <f t="shared" si="42"/>
        <v>M9003</v>
      </c>
      <c r="I36" s="23" t="s">
        <v>203</v>
      </c>
      <c r="J36" s="23" t="s">
        <v>4</v>
      </c>
      <c r="K36" s="46" t="s">
        <v>206</v>
      </c>
      <c r="L36" s="47">
        <v>46447</v>
      </c>
      <c r="M36" s="48">
        <v>120000</v>
      </c>
      <c r="N36" s="49">
        <v>120</v>
      </c>
      <c r="O36" s="50">
        <f t="shared" si="25"/>
        <v>50072</v>
      </c>
      <c r="P36" s="51">
        <f t="shared" si="29"/>
        <v>0</v>
      </c>
      <c r="Q36" s="51">
        <f t="shared" si="29"/>
        <v>0</v>
      </c>
      <c r="R36" s="52">
        <f t="shared" si="29"/>
        <v>0</v>
      </c>
      <c r="S36" s="53">
        <f t="shared" si="29"/>
        <v>0</v>
      </c>
      <c r="T36" s="51">
        <f t="shared" si="29"/>
        <v>0</v>
      </c>
      <c r="U36" s="52">
        <f t="shared" si="29"/>
        <v>0</v>
      </c>
      <c r="V36" s="53">
        <f t="shared" si="29"/>
        <v>0</v>
      </c>
      <c r="W36" s="51">
        <f t="shared" si="29"/>
        <v>0</v>
      </c>
      <c r="X36" s="52">
        <f t="shared" si="29"/>
        <v>0</v>
      </c>
      <c r="Y36" s="53">
        <f t="shared" si="29"/>
        <v>0</v>
      </c>
      <c r="Z36" s="51">
        <f t="shared" si="29"/>
        <v>0</v>
      </c>
      <c r="AA36" s="52">
        <f t="shared" si="29"/>
        <v>0</v>
      </c>
      <c r="AB36" s="53">
        <f t="shared" si="29"/>
        <v>0</v>
      </c>
      <c r="AC36" s="51">
        <f t="shared" si="29"/>
        <v>0</v>
      </c>
      <c r="AD36" s="52">
        <f t="shared" si="29"/>
        <v>0</v>
      </c>
      <c r="AE36" s="53">
        <f t="shared" si="29"/>
        <v>0</v>
      </c>
      <c r="AF36" s="51">
        <f t="shared" si="27"/>
        <v>0</v>
      </c>
      <c r="AG36" s="52">
        <f t="shared" si="27"/>
        <v>0</v>
      </c>
      <c r="AH36" s="53">
        <f t="shared" si="27"/>
        <v>0</v>
      </c>
      <c r="AI36" s="51">
        <f t="shared" si="27"/>
        <v>0</v>
      </c>
      <c r="AJ36" s="52">
        <f t="shared" si="27"/>
        <v>0</v>
      </c>
      <c r="AK36" s="53">
        <f t="shared" si="27"/>
        <v>0</v>
      </c>
      <c r="AL36" s="51">
        <f t="shared" si="27"/>
        <v>0</v>
      </c>
      <c r="AM36" s="52">
        <f t="shared" si="27"/>
        <v>0</v>
      </c>
      <c r="AN36" s="53">
        <f t="shared" si="27"/>
        <v>0</v>
      </c>
      <c r="AO36" s="51">
        <f t="shared" si="27"/>
        <v>0</v>
      </c>
      <c r="AP36" s="52">
        <f t="shared" si="27"/>
        <v>120000</v>
      </c>
      <c r="AQ36" s="53">
        <f t="shared" si="27"/>
        <v>0</v>
      </c>
      <c r="AR36" s="51">
        <f t="shared" si="27"/>
        <v>0</v>
      </c>
      <c r="AS36" s="52">
        <f t="shared" si="27"/>
        <v>0</v>
      </c>
      <c r="AT36" s="53">
        <f t="shared" si="27"/>
        <v>0</v>
      </c>
      <c r="AU36" s="51">
        <f t="shared" si="30"/>
        <v>0</v>
      </c>
      <c r="AV36" s="52">
        <f t="shared" si="30"/>
        <v>0</v>
      </c>
      <c r="AW36" s="53">
        <f t="shared" si="30"/>
        <v>0</v>
      </c>
      <c r="AX36" s="51">
        <f t="shared" si="30"/>
        <v>0</v>
      </c>
      <c r="AY36" s="52">
        <f t="shared" si="30"/>
        <v>0</v>
      </c>
      <c r="AZ36" s="53">
        <f t="shared" si="30"/>
        <v>0</v>
      </c>
      <c r="BA36" s="51">
        <f t="shared" si="30"/>
        <v>0</v>
      </c>
      <c r="BB36" s="52">
        <f t="shared" si="30"/>
        <v>0</v>
      </c>
      <c r="BC36" s="53">
        <f t="shared" si="30"/>
        <v>0</v>
      </c>
      <c r="BD36" s="51">
        <f t="shared" si="30"/>
        <v>0</v>
      </c>
      <c r="BE36" s="52">
        <f t="shared" si="30"/>
        <v>0</v>
      </c>
      <c r="BF36" s="53">
        <f t="shared" si="30"/>
        <v>0</v>
      </c>
      <c r="BG36" s="51">
        <f t="shared" si="30"/>
        <v>0</v>
      </c>
      <c r="BH36" s="52">
        <f t="shared" si="30"/>
        <v>0</v>
      </c>
      <c r="BI36" s="53">
        <f t="shared" si="30"/>
        <v>0</v>
      </c>
      <c r="BJ36" s="51">
        <f t="shared" si="30"/>
        <v>0</v>
      </c>
      <c r="BK36" s="52">
        <f t="shared" si="28"/>
        <v>0</v>
      </c>
      <c r="BL36" s="53">
        <f t="shared" si="28"/>
        <v>0</v>
      </c>
      <c r="BM36" s="51">
        <f t="shared" si="28"/>
        <v>0</v>
      </c>
      <c r="BN36" s="52">
        <f t="shared" si="28"/>
        <v>0</v>
      </c>
      <c r="BO36" s="53">
        <f t="shared" si="28"/>
        <v>0</v>
      </c>
      <c r="BP36" s="51">
        <f t="shared" si="28"/>
        <v>0</v>
      </c>
      <c r="BQ36" s="52">
        <f t="shared" si="28"/>
        <v>0</v>
      </c>
      <c r="BR36" s="53">
        <f t="shared" si="28"/>
        <v>0</v>
      </c>
      <c r="BS36" s="51">
        <f t="shared" si="28"/>
        <v>0</v>
      </c>
      <c r="BT36" s="52">
        <f t="shared" si="28"/>
        <v>0</v>
      </c>
      <c r="BU36" s="53">
        <f t="shared" si="28"/>
        <v>0</v>
      </c>
      <c r="BV36" s="51">
        <f t="shared" si="28"/>
        <v>0</v>
      </c>
      <c r="BW36" s="52">
        <f t="shared" si="28"/>
        <v>0</v>
      </c>
      <c r="BX36" s="53">
        <f t="shared" si="28"/>
        <v>0</v>
      </c>
      <c r="BY36" s="51">
        <f t="shared" si="28"/>
        <v>0</v>
      </c>
      <c r="BZ36" s="52">
        <f t="shared" si="28"/>
        <v>0</v>
      </c>
      <c r="CA36" s="53">
        <f t="shared" si="31"/>
        <v>0</v>
      </c>
      <c r="CB36" s="51">
        <f t="shared" si="31"/>
        <v>0</v>
      </c>
      <c r="CC36" s="52">
        <f t="shared" si="31"/>
        <v>0</v>
      </c>
      <c r="CD36" s="53">
        <f t="shared" si="31"/>
        <v>0</v>
      </c>
      <c r="CE36" s="51">
        <f t="shared" si="31"/>
        <v>0</v>
      </c>
      <c r="CF36" s="52">
        <f t="shared" si="31"/>
        <v>0</v>
      </c>
      <c r="CG36" s="53">
        <f t="shared" si="31"/>
        <v>0</v>
      </c>
      <c r="CH36" s="51">
        <f t="shared" si="31"/>
        <v>0</v>
      </c>
      <c r="CI36" s="52">
        <f t="shared" si="31"/>
        <v>0</v>
      </c>
      <c r="CJ36" s="40"/>
      <c r="CK36" s="54">
        <f t="shared" si="13"/>
        <v>0</v>
      </c>
      <c r="CL36" s="54">
        <f t="shared" si="14"/>
        <v>0</v>
      </c>
      <c r="CM36" s="54">
        <f t="shared" si="15"/>
        <v>0</v>
      </c>
      <c r="CN36" s="54">
        <f t="shared" si="16"/>
        <v>0</v>
      </c>
      <c r="CO36" s="54">
        <f t="shared" si="17"/>
        <v>0</v>
      </c>
      <c r="CP36" s="54">
        <f t="shared" si="18"/>
        <v>0</v>
      </c>
      <c r="CQ36" s="54">
        <f t="shared" si="19"/>
        <v>0</v>
      </c>
      <c r="CR36" s="54">
        <f t="shared" si="20"/>
        <v>0</v>
      </c>
      <c r="CS36" s="55">
        <f t="shared" si="33"/>
        <v>120000</v>
      </c>
      <c r="CT36" s="55">
        <f t="shared" si="33"/>
        <v>0</v>
      </c>
      <c r="CU36" s="55">
        <f t="shared" si="33"/>
        <v>0</v>
      </c>
      <c r="CV36" s="55">
        <f t="shared" si="33"/>
        <v>0</v>
      </c>
      <c r="CW36" s="55">
        <f t="shared" si="33"/>
        <v>0</v>
      </c>
      <c r="CX36" s="55">
        <f t="shared" si="33"/>
        <v>0</v>
      </c>
      <c r="CY36" s="55">
        <f t="shared" si="33"/>
        <v>0</v>
      </c>
      <c r="CZ36" s="55">
        <f t="shared" si="33"/>
        <v>0</v>
      </c>
      <c r="DA36" s="55">
        <f t="shared" si="33"/>
        <v>0</v>
      </c>
      <c r="DB36" s="55">
        <f t="shared" si="33"/>
        <v>0</v>
      </c>
      <c r="DC36" s="55">
        <f t="shared" si="33"/>
        <v>0</v>
      </c>
      <c r="DD36" s="55">
        <f t="shared" si="33"/>
        <v>0</v>
      </c>
      <c r="DE36" s="55">
        <f t="shared" si="33"/>
        <v>0</v>
      </c>
      <c r="DF36" s="55">
        <f t="shared" si="33"/>
        <v>0</v>
      </c>
      <c r="DG36" s="55">
        <f t="shared" si="33"/>
        <v>0</v>
      </c>
      <c r="DH36" s="55">
        <f t="shared" si="33"/>
        <v>0</v>
      </c>
      <c r="DI36" s="40"/>
      <c r="DJ36" s="54">
        <f t="shared" si="32"/>
        <v>0</v>
      </c>
      <c r="DK36" s="56">
        <f t="shared" si="32"/>
        <v>0</v>
      </c>
      <c r="DL36" s="57">
        <f t="shared" si="32"/>
        <v>120000</v>
      </c>
      <c r="DM36" s="57">
        <f t="shared" si="32"/>
        <v>0</v>
      </c>
      <c r="DN36" s="57">
        <f t="shared" si="32"/>
        <v>0</v>
      </c>
      <c r="DO36" s="58">
        <f t="shared" si="32"/>
        <v>0</v>
      </c>
    </row>
    <row r="37" spans="1:119" s="100" customFormat="1" ht="14.45">
      <c r="A37" s="100">
        <f>A34+1</f>
        <v>25</v>
      </c>
      <c r="B37" s="100" t="s">
        <v>165</v>
      </c>
      <c r="C37" s="100">
        <v>40000</v>
      </c>
      <c r="D37" s="100" t="s">
        <v>166</v>
      </c>
      <c r="E37" s="101" t="s">
        <v>165</v>
      </c>
      <c r="F37" s="102" t="str">
        <f t="shared" si="24"/>
        <v>4700</v>
      </c>
      <c r="G37" s="100" t="s">
        <v>188</v>
      </c>
      <c r="H37" s="102" t="str">
        <f t="shared" si="7"/>
        <v>M9000</v>
      </c>
      <c r="I37" s="100" t="s">
        <v>172</v>
      </c>
      <c r="K37" s="103" t="s">
        <v>207</v>
      </c>
      <c r="L37" s="104">
        <v>46266</v>
      </c>
      <c r="M37" s="105">
        <v>400000</v>
      </c>
      <c r="N37" s="106">
        <v>36</v>
      </c>
      <c r="O37" s="107">
        <f t="shared" si="25"/>
        <v>47331</v>
      </c>
      <c r="P37" s="108">
        <f t="shared" si="29"/>
        <v>0</v>
      </c>
      <c r="Q37" s="108">
        <f t="shared" si="29"/>
        <v>0</v>
      </c>
      <c r="R37" s="109">
        <f t="shared" si="29"/>
        <v>0</v>
      </c>
      <c r="S37" s="110">
        <f t="shared" si="29"/>
        <v>0</v>
      </c>
      <c r="T37" s="108">
        <f t="shared" si="29"/>
        <v>0</v>
      </c>
      <c r="U37" s="109">
        <f t="shared" si="29"/>
        <v>0</v>
      </c>
      <c r="V37" s="110">
        <f t="shared" si="29"/>
        <v>0</v>
      </c>
      <c r="W37" s="108">
        <f t="shared" si="29"/>
        <v>0</v>
      </c>
      <c r="X37" s="109">
        <f t="shared" si="29"/>
        <v>0</v>
      </c>
      <c r="Y37" s="110">
        <f t="shared" si="29"/>
        <v>0</v>
      </c>
      <c r="Z37" s="108">
        <f t="shared" si="29"/>
        <v>0</v>
      </c>
      <c r="AA37" s="109">
        <f t="shared" si="29"/>
        <v>0</v>
      </c>
      <c r="AB37" s="110">
        <f t="shared" si="29"/>
        <v>0</v>
      </c>
      <c r="AC37" s="108">
        <f t="shared" si="29"/>
        <v>0</v>
      </c>
      <c r="AD37" s="109">
        <f t="shared" si="29"/>
        <v>0</v>
      </c>
      <c r="AE37" s="110">
        <f t="shared" si="29"/>
        <v>0</v>
      </c>
      <c r="AF37" s="108">
        <f t="shared" si="27"/>
        <v>0</v>
      </c>
      <c r="AG37" s="109">
        <f t="shared" si="27"/>
        <v>0</v>
      </c>
      <c r="AH37" s="110">
        <f t="shared" si="27"/>
        <v>0</v>
      </c>
      <c r="AI37" s="108">
        <f t="shared" si="27"/>
        <v>0</v>
      </c>
      <c r="AJ37" s="109">
        <f t="shared" si="27"/>
        <v>400000</v>
      </c>
      <c r="AK37" s="110">
        <f t="shared" si="27"/>
        <v>0</v>
      </c>
      <c r="AL37" s="108">
        <f t="shared" si="27"/>
        <v>0</v>
      </c>
      <c r="AM37" s="109">
        <f t="shared" si="27"/>
        <v>0</v>
      </c>
      <c r="AN37" s="110">
        <f t="shared" si="27"/>
        <v>0</v>
      </c>
      <c r="AO37" s="108">
        <f t="shared" si="27"/>
        <v>0</v>
      </c>
      <c r="AP37" s="109">
        <f t="shared" si="27"/>
        <v>0</v>
      </c>
      <c r="AQ37" s="110">
        <f t="shared" si="27"/>
        <v>0</v>
      </c>
      <c r="AR37" s="108">
        <f t="shared" si="27"/>
        <v>0</v>
      </c>
      <c r="AS37" s="109">
        <f t="shared" si="27"/>
        <v>0</v>
      </c>
      <c r="AT37" s="110">
        <f t="shared" si="27"/>
        <v>0</v>
      </c>
      <c r="AU37" s="108">
        <f t="shared" si="30"/>
        <v>0</v>
      </c>
      <c r="AV37" s="109">
        <f t="shared" si="30"/>
        <v>0</v>
      </c>
      <c r="AW37" s="110">
        <f t="shared" si="30"/>
        <v>0</v>
      </c>
      <c r="AX37" s="108">
        <f t="shared" si="30"/>
        <v>0</v>
      </c>
      <c r="AY37" s="109">
        <f t="shared" si="30"/>
        <v>0</v>
      </c>
      <c r="AZ37" s="110">
        <f t="shared" si="30"/>
        <v>0</v>
      </c>
      <c r="BA37" s="108">
        <f t="shared" si="30"/>
        <v>0</v>
      </c>
      <c r="BB37" s="109">
        <f t="shared" si="30"/>
        <v>0</v>
      </c>
      <c r="BC37" s="110">
        <f t="shared" si="30"/>
        <v>0</v>
      </c>
      <c r="BD37" s="108">
        <f t="shared" si="30"/>
        <v>0</v>
      </c>
      <c r="BE37" s="109">
        <f t="shared" si="30"/>
        <v>0</v>
      </c>
      <c r="BF37" s="110">
        <f t="shared" si="30"/>
        <v>0</v>
      </c>
      <c r="BG37" s="108">
        <f t="shared" si="30"/>
        <v>0</v>
      </c>
      <c r="BH37" s="109">
        <f t="shared" si="30"/>
        <v>0</v>
      </c>
      <c r="BI37" s="110">
        <f t="shared" si="30"/>
        <v>0</v>
      </c>
      <c r="BJ37" s="108">
        <f t="shared" si="30"/>
        <v>0</v>
      </c>
      <c r="BK37" s="109">
        <f t="shared" si="28"/>
        <v>0</v>
      </c>
      <c r="BL37" s="110">
        <f t="shared" si="28"/>
        <v>0</v>
      </c>
      <c r="BM37" s="108">
        <f t="shared" si="28"/>
        <v>0</v>
      </c>
      <c r="BN37" s="109">
        <f t="shared" si="28"/>
        <v>0</v>
      </c>
      <c r="BO37" s="110">
        <f t="shared" si="28"/>
        <v>0</v>
      </c>
      <c r="BP37" s="108">
        <f t="shared" si="28"/>
        <v>0</v>
      </c>
      <c r="BQ37" s="109">
        <f t="shared" si="28"/>
        <v>0</v>
      </c>
      <c r="BR37" s="110">
        <f t="shared" si="28"/>
        <v>0</v>
      </c>
      <c r="BS37" s="108">
        <f t="shared" si="28"/>
        <v>0</v>
      </c>
      <c r="BT37" s="109">
        <f t="shared" si="28"/>
        <v>0</v>
      </c>
      <c r="BU37" s="110">
        <f t="shared" si="28"/>
        <v>0</v>
      </c>
      <c r="BV37" s="108">
        <f t="shared" si="28"/>
        <v>0</v>
      </c>
      <c r="BW37" s="109">
        <f t="shared" si="28"/>
        <v>0</v>
      </c>
      <c r="BX37" s="110">
        <f t="shared" si="28"/>
        <v>0</v>
      </c>
      <c r="BY37" s="108">
        <f t="shared" si="28"/>
        <v>0</v>
      </c>
      <c r="BZ37" s="109">
        <f t="shared" si="28"/>
        <v>0</v>
      </c>
      <c r="CA37" s="110">
        <f t="shared" si="31"/>
        <v>0</v>
      </c>
      <c r="CB37" s="108">
        <f t="shared" si="31"/>
        <v>0</v>
      </c>
      <c r="CC37" s="109">
        <f t="shared" si="31"/>
        <v>0</v>
      </c>
      <c r="CD37" s="110">
        <f t="shared" si="31"/>
        <v>0</v>
      </c>
      <c r="CE37" s="108">
        <f t="shared" si="31"/>
        <v>0</v>
      </c>
      <c r="CF37" s="109">
        <f t="shared" si="31"/>
        <v>0</v>
      </c>
      <c r="CG37" s="110">
        <f t="shared" si="31"/>
        <v>0</v>
      </c>
      <c r="CH37" s="108">
        <f t="shared" si="31"/>
        <v>0</v>
      </c>
      <c r="CI37" s="109">
        <f t="shared" si="31"/>
        <v>0</v>
      </c>
      <c r="CJ37" s="111"/>
      <c r="CK37" s="112">
        <f t="shared" si="13"/>
        <v>0</v>
      </c>
      <c r="CL37" s="112">
        <f t="shared" si="14"/>
        <v>0</v>
      </c>
      <c r="CM37" s="112">
        <f t="shared" si="15"/>
        <v>0</v>
      </c>
      <c r="CN37" s="112">
        <f t="shared" si="16"/>
        <v>0</v>
      </c>
      <c r="CO37" s="112">
        <f t="shared" si="17"/>
        <v>0</v>
      </c>
      <c r="CP37" s="112">
        <f t="shared" si="18"/>
        <v>0</v>
      </c>
      <c r="CQ37" s="112">
        <f t="shared" si="19"/>
        <v>400000</v>
      </c>
      <c r="CR37" s="112">
        <f t="shared" si="20"/>
        <v>0</v>
      </c>
      <c r="CS37" s="114">
        <f t="shared" si="33"/>
        <v>0</v>
      </c>
      <c r="CT37" s="114">
        <f t="shared" si="33"/>
        <v>0</v>
      </c>
      <c r="CU37" s="114">
        <f t="shared" si="33"/>
        <v>0</v>
      </c>
      <c r="CV37" s="114">
        <f t="shared" si="33"/>
        <v>0</v>
      </c>
      <c r="CW37" s="114">
        <f t="shared" si="33"/>
        <v>0</v>
      </c>
      <c r="CX37" s="114">
        <f t="shared" si="33"/>
        <v>0</v>
      </c>
      <c r="CY37" s="114">
        <f t="shared" si="33"/>
        <v>0</v>
      </c>
      <c r="CZ37" s="114">
        <f t="shared" si="33"/>
        <v>0</v>
      </c>
      <c r="DA37" s="114">
        <f t="shared" si="33"/>
        <v>0</v>
      </c>
      <c r="DB37" s="114">
        <f t="shared" si="33"/>
        <v>0</v>
      </c>
      <c r="DC37" s="114">
        <f t="shared" si="33"/>
        <v>0</v>
      </c>
      <c r="DD37" s="114">
        <f t="shared" si="33"/>
        <v>0</v>
      </c>
      <c r="DE37" s="114">
        <f t="shared" si="33"/>
        <v>0</v>
      </c>
      <c r="DF37" s="114">
        <f t="shared" si="33"/>
        <v>0</v>
      </c>
      <c r="DG37" s="114">
        <f t="shared" si="33"/>
        <v>0</v>
      </c>
      <c r="DH37" s="114">
        <f t="shared" si="33"/>
        <v>0</v>
      </c>
      <c r="DI37" s="111"/>
      <c r="DJ37" s="112">
        <f t="shared" si="32"/>
        <v>0</v>
      </c>
      <c r="DK37" s="115">
        <f t="shared" si="32"/>
        <v>400000</v>
      </c>
      <c r="DL37" s="116">
        <f t="shared" si="32"/>
        <v>0</v>
      </c>
      <c r="DM37" s="116">
        <f t="shared" si="32"/>
        <v>0</v>
      </c>
      <c r="DN37" s="116">
        <f t="shared" si="32"/>
        <v>0</v>
      </c>
      <c r="DO37" s="117">
        <f t="shared" si="32"/>
        <v>0</v>
      </c>
    </row>
    <row r="38" spans="1:119" s="100" customFormat="1" ht="14.45">
      <c r="A38" s="100">
        <f t="shared" si="23"/>
        <v>26</v>
      </c>
      <c r="B38" s="100" t="s">
        <v>165</v>
      </c>
      <c r="C38" s="100">
        <v>40000</v>
      </c>
      <c r="D38" s="100" t="s">
        <v>166</v>
      </c>
      <c r="E38" s="101" t="s">
        <v>165</v>
      </c>
      <c r="F38" s="102" t="str">
        <f t="shared" si="24"/>
        <v>4000</v>
      </c>
      <c r="G38" s="100" t="s">
        <v>184</v>
      </c>
      <c r="H38" s="102" t="str">
        <f t="shared" si="7"/>
        <v>I0002</v>
      </c>
      <c r="I38" s="100" t="s">
        <v>192</v>
      </c>
      <c r="K38" s="103" t="s">
        <v>208</v>
      </c>
      <c r="L38" s="104">
        <v>46143</v>
      </c>
      <c r="M38" s="105">
        <f>18000*5</f>
        <v>90000</v>
      </c>
      <c r="N38" s="106">
        <v>36</v>
      </c>
      <c r="O38" s="107">
        <f t="shared" si="25"/>
        <v>47209</v>
      </c>
      <c r="P38" s="108">
        <f t="shared" si="29"/>
        <v>0</v>
      </c>
      <c r="Q38" s="108">
        <f t="shared" si="29"/>
        <v>0</v>
      </c>
      <c r="R38" s="109">
        <f t="shared" si="29"/>
        <v>0</v>
      </c>
      <c r="S38" s="110">
        <f t="shared" si="29"/>
        <v>0</v>
      </c>
      <c r="T38" s="108">
        <f t="shared" si="29"/>
        <v>0</v>
      </c>
      <c r="U38" s="109">
        <f t="shared" si="29"/>
        <v>0</v>
      </c>
      <c r="V38" s="110">
        <f t="shared" si="29"/>
        <v>0</v>
      </c>
      <c r="W38" s="108">
        <f t="shared" si="29"/>
        <v>0</v>
      </c>
      <c r="X38" s="109">
        <f t="shared" si="29"/>
        <v>0</v>
      </c>
      <c r="Y38" s="110">
        <f t="shared" si="29"/>
        <v>0</v>
      </c>
      <c r="Z38" s="108">
        <f t="shared" si="29"/>
        <v>0</v>
      </c>
      <c r="AA38" s="109">
        <f t="shared" si="29"/>
        <v>0</v>
      </c>
      <c r="AB38" s="110">
        <f t="shared" si="29"/>
        <v>0</v>
      </c>
      <c r="AC38" s="108">
        <f t="shared" si="29"/>
        <v>0</v>
      </c>
      <c r="AD38" s="109">
        <f t="shared" si="29"/>
        <v>0</v>
      </c>
      <c r="AE38" s="110">
        <f t="shared" si="29"/>
        <v>0</v>
      </c>
      <c r="AF38" s="108">
        <f t="shared" si="27"/>
        <v>90000</v>
      </c>
      <c r="AG38" s="109">
        <f t="shared" si="27"/>
        <v>0</v>
      </c>
      <c r="AH38" s="110">
        <f t="shared" si="27"/>
        <v>0</v>
      </c>
      <c r="AI38" s="108">
        <f t="shared" si="27"/>
        <v>0</v>
      </c>
      <c r="AJ38" s="109">
        <f t="shared" si="27"/>
        <v>0</v>
      </c>
      <c r="AK38" s="110">
        <f t="shared" si="27"/>
        <v>0</v>
      </c>
      <c r="AL38" s="108">
        <f t="shared" si="27"/>
        <v>0</v>
      </c>
      <c r="AM38" s="109">
        <f t="shared" si="27"/>
        <v>0</v>
      </c>
      <c r="AN38" s="110">
        <f t="shared" si="27"/>
        <v>0</v>
      </c>
      <c r="AO38" s="108">
        <f t="shared" si="27"/>
        <v>0</v>
      </c>
      <c r="AP38" s="109">
        <f t="shared" si="27"/>
        <v>0</v>
      </c>
      <c r="AQ38" s="110">
        <f t="shared" si="27"/>
        <v>0</v>
      </c>
      <c r="AR38" s="108">
        <f t="shared" si="27"/>
        <v>0</v>
      </c>
      <c r="AS38" s="109">
        <f t="shared" si="27"/>
        <v>0</v>
      </c>
      <c r="AT38" s="110">
        <f t="shared" si="27"/>
        <v>0</v>
      </c>
      <c r="AU38" s="108">
        <f t="shared" si="30"/>
        <v>0</v>
      </c>
      <c r="AV38" s="109">
        <f t="shared" si="30"/>
        <v>0</v>
      </c>
      <c r="AW38" s="110">
        <f t="shared" si="30"/>
        <v>0</v>
      </c>
      <c r="AX38" s="108">
        <f t="shared" si="30"/>
        <v>0</v>
      </c>
      <c r="AY38" s="109">
        <f t="shared" si="30"/>
        <v>0</v>
      </c>
      <c r="AZ38" s="110">
        <f t="shared" si="30"/>
        <v>0</v>
      </c>
      <c r="BA38" s="108">
        <f t="shared" si="30"/>
        <v>0</v>
      </c>
      <c r="BB38" s="109">
        <f t="shared" si="30"/>
        <v>0</v>
      </c>
      <c r="BC38" s="110">
        <f t="shared" si="30"/>
        <v>0</v>
      </c>
      <c r="BD38" s="108">
        <f t="shared" si="30"/>
        <v>0</v>
      </c>
      <c r="BE38" s="109">
        <f t="shared" si="30"/>
        <v>0</v>
      </c>
      <c r="BF38" s="110">
        <f t="shared" si="30"/>
        <v>0</v>
      </c>
      <c r="BG38" s="108">
        <f t="shared" si="30"/>
        <v>0</v>
      </c>
      <c r="BH38" s="109">
        <f t="shared" si="30"/>
        <v>0</v>
      </c>
      <c r="BI38" s="110">
        <f t="shared" si="30"/>
        <v>0</v>
      </c>
      <c r="BJ38" s="108">
        <f t="shared" si="30"/>
        <v>0</v>
      </c>
      <c r="BK38" s="109">
        <f t="shared" si="28"/>
        <v>0</v>
      </c>
      <c r="BL38" s="110">
        <f t="shared" si="28"/>
        <v>0</v>
      </c>
      <c r="BM38" s="108">
        <f t="shared" si="28"/>
        <v>0</v>
      </c>
      <c r="BN38" s="109">
        <f t="shared" si="28"/>
        <v>0</v>
      </c>
      <c r="BO38" s="110">
        <f t="shared" si="28"/>
        <v>0</v>
      </c>
      <c r="BP38" s="108">
        <f t="shared" si="28"/>
        <v>0</v>
      </c>
      <c r="BQ38" s="109">
        <f t="shared" si="28"/>
        <v>0</v>
      </c>
      <c r="BR38" s="110">
        <f t="shared" si="28"/>
        <v>0</v>
      </c>
      <c r="BS38" s="108">
        <f t="shared" si="28"/>
        <v>0</v>
      </c>
      <c r="BT38" s="109">
        <f t="shared" si="28"/>
        <v>0</v>
      </c>
      <c r="BU38" s="110">
        <f t="shared" si="28"/>
        <v>0</v>
      </c>
      <c r="BV38" s="108">
        <f t="shared" si="28"/>
        <v>0</v>
      </c>
      <c r="BW38" s="109">
        <f t="shared" si="28"/>
        <v>0</v>
      </c>
      <c r="BX38" s="110">
        <f t="shared" si="28"/>
        <v>0</v>
      </c>
      <c r="BY38" s="108">
        <f t="shared" si="28"/>
        <v>0</v>
      </c>
      <c r="BZ38" s="109">
        <f t="shared" si="28"/>
        <v>0</v>
      </c>
      <c r="CA38" s="110">
        <f t="shared" si="31"/>
        <v>0</v>
      </c>
      <c r="CB38" s="108">
        <f t="shared" si="31"/>
        <v>0</v>
      </c>
      <c r="CC38" s="109">
        <f t="shared" si="31"/>
        <v>0</v>
      </c>
      <c r="CD38" s="110">
        <f t="shared" si="31"/>
        <v>0</v>
      </c>
      <c r="CE38" s="108">
        <f t="shared" si="31"/>
        <v>0</v>
      </c>
      <c r="CF38" s="109">
        <f t="shared" si="31"/>
        <v>0</v>
      </c>
      <c r="CG38" s="110">
        <f t="shared" si="31"/>
        <v>0</v>
      </c>
      <c r="CH38" s="108">
        <f t="shared" si="31"/>
        <v>0</v>
      </c>
      <c r="CI38" s="109">
        <f t="shared" si="31"/>
        <v>0</v>
      </c>
      <c r="CJ38" s="111"/>
      <c r="CK38" s="112">
        <f t="shared" si="13"/>
        <v>0</v>
      </c>
      <c r="CL38" s="112">
        <f t="shared" si="14"/>
        <v>0</v>
      </c>
      <c r="CM38" s="112">
        <f t="shared" si="15"/>
        <v>0</v>
      </c>
      <c r="CN38" s="112">
        <f t="shared" si="16"/>
        <v>0</v>
      </c>
      <c r="CO38" s="112">
        <f t="shared" si="17"/>
        <v>0</v>
      </c>
      <c r="CP38" s="112">
        <f t="shared" si="18"/>
        <v>90000</v>
      </c>
      <c r="CQ38" s="112">
        <f t="shared" si="19"/>
        <v>0</v>
      </c>
      <c r="CR38" s="112">
        <f t="shared" si="20"/>
        <v>0</v>
      </c>
      <c r="CS38" s="114">
        <f t="shared" si="33"/>
        <v>0</v>
      </c>
      <c r="CT38" s="114">
        <f t="shared" si="33"/>
        <v>0</v>
      </c>
      <c r="CU38" s="114">
        <f t="shared" si="33"/>
        <v>0</v>
      </c>
      <c r="CV38" s="114">
        <f t="shared" si="33"/>
        <v>0</v>
      </c>
      <c r="CW38" s="114">
        <f t="shared" si="33"/>
        <v>0</v>
      </c>
      <c r="CX38" s="114">
        <f t="shared" si="33"/>
        <v>0</v>
      </c>
      <c r="CY38" s="114">
        <f t="shared" si="33"/>
        <v>0</v>
      </c>
      <c r="CZ38" s="114">
        <f t="shared" si="33"/>
        <v>0</v>
      </c>
      <c r="DA38" s="114">
        <f t="shared" si="33"/>
        <v>0</v>
      </c>
      <c r="DB38" s="114">
        <f t="shared" si="33"/>
        <v>0</v>
      </c>
      <c r="DC38" s="114">
        <f t="shared" si="33"/>
        <v>0</v>
      </c>
      <c r="DD38" s="114">
        <f t="shared" si="33"/>
        <v>0</v>
      </c>
      <c r="DE38" s="114">
        <f t="shared" si="33"/>
        <v>0</v>
      </c>
      <c r="DF38" s="114">
        <f t="shared" si="33"/>
        <v>0</v>
      </c>
      <c r="DG38" s="114">
        <f t="shared" si="33"/>
        <v>0</v>
      </c>
      <c r="DH38" s="114">
        <f t="shared" si="33"/>
        <v>0</v>
      </c>
      <c r="DI38" s="111"/>
      <c r="DJ38" s="112">
        <f t="shared" si="32"/>
        <v>0</v>
      </c>
      <c r="DK38" s="115">
        <f t="shared" si="32"/>
        <v>90000</v>
      </c>
      <c r="DL38" s="116">
        <f t="shared" si="32"/>
        <v>0</v>
      </c>
      <c r="DM38" s="116">
        <f t="shared" si="32"/>
        <v>0</v>
      </c>
      <c r="DN38" s="116">
        <f t="shared" si="32"/>
        <v>0</v>
      </c>
      <c r="DO38" s="117">
        <f t="shared" si="32"/>
        <v>0</v>
      </c>
    </row>
    <row r="39" spans="1:119" ht="14.45">
      <c r="A39" s="23">
        <f>A34+1</f>
        <v>25</v>
      </c>
      <c r="B39" s="23" t="s">
        <v>165</v>
      </c>
      <c r="C39" s="23">
        <v>40000</v>
      </c>
      <c r="D39" s="23" t="s">
        <v>166</v>
      </c>
      <c r="E39" s="44" t="s">
        <v>165</v>
      </c>
      <c r="F39" s="45" t="str">
        <f t="shared" si="24"/>
        <v>4800</v>
      </c>
      <c r="G39" s="23" t="s">
        <v>167</v>
      </c>
      <c r="H39" s="45" t="str">
        <f t="shared" si="7"/>
        <v>M9003</v>
      </c>
      <c r="I39" s="23" t="s">
        <v>203</v>
      </c>
      <c r="J39" s="23" t="s">
        <v>3</v>
      </c>
      <c r="K39" s="46" t="s">
        <v>209</v>
      </c>
      <c r="L39" s="47">
        <v>46296</v>
      </c>
      <c r="M39" s="48">
        <v>200000</v>
      </c>
      <c r="N39" s="49">
        <v>120</v>
      </c>
      <c r="O39" s="50">
        <f t="shared" si="25"/>
        <v>49919</v>
      </c>
      <c r="P39" s="51">
        <f t="shared" si="29"/>
        <v>0</v>
      </c>
      <c r="Q39" s="51">
        <f t="shared" si="29"/>
        <v>0</v>
      </c>
      <c r="R39" s="52">
        <f t="shared" si="29"/>
        <v>0</v>
      </c>
      <c r="S39" s="53">
        <f t="shared" si="29"/>
        <v>0</v>
      </c>
      <c r="T39" s="51">
        <f t="shared" si="29"/>
        <v>0</v>
      </c>
      <c r="U39" s="52">
        <f t="shared" si="29"/>
        <v>0</v>
      </c>
      <c r="V39" s="53">
        <f t="shared" si="29"/>
        <v>0</v>
      </c>
      <c r="W39" s="51">
        <f t="shared" si="29"/>
        <v>0</v>
      </c>
      <c r="X39" s="52">
        <f t="shared" si="29"/>
        <v>0</v>
      </c>
      <c r="Y39" s="53">
        <f t="shared" si="29"/>
        <v>0</v>
      </c>
      <c r="Z39" s="51">
        <f t="shared" si="29"/>
        <v>0</v>
      </c>
      <c r="AA39" s="52">
        <f t="shared" si="29"/>
        <v>0</v>
      </c>
      <c r="AB39" s="53">
        <f t="shared" si="29"/>
        <v>0</v>
      </c>
      <c r="AC39" s="51">
        <f t="shared" si="29"/>
        <v>0</v>
      </c>
      <c r="AD39" s="52">
        <f t="shared" si="29"/>
        <v>0</v>
      </c>
      <c r="AE39" s="53">
        <f t="shared" si="29"/>
        <v>0</v>
      </c>
      <c r="AF39" s="51">
        <f t="shared" ref="AF39:AU52" si="43">IF($L39=AF$6,$M39,0)</f>
        <v>0</v>
      </c>
      <c r="AG39" s="52">
        <f t="shared" si="43"/>
        <v>0</v>
      </c>
      <c r="AH39" s="53">
        <f t="shared" si="43"/>
        <v>0</v>
      </c>
      <c r="AI39" s="51">
        <f t="shared" si="43"/>
        <v>0</v>
      </c>
      <c r="AJ39" s="52">
        <f t="shared" si="43"/>
        <v>0</v>
      </c>
      <c r="AK39" s="53">
        <f t="shared" si="43"/>
        <v>200000</v>
      </c>
      <c r="AL39" s="51">
        <f t="shared" si="43"/>
        <v>0</v>
      </c>
      <c r="AM39" s="52">
        <f t="shared" si="43"/>
        <v>0</v>
      </c>
      <c r="AN39" s="53">
        <f t="shared" si="43"/>
        <v>0</v>
      </c>
      <c r="AO39" s="51">
        <f t="shared" si="43"/>
        <v>0</v>
      </c>
      <c r="AP39" s="52">
        <f t="shared" si="43"/>
        <v>0</v>
      </c>
      <c r="AQ39" s="53">
        <f t="shared" si="43"/>
        <v>0</v>
      </c>
      <c r="AR39" s="51">
        <f t="shared" si="43"/>
        <v>0</v>
      </c>
      <c r="AS39" s="52">
        <f t="shared" si="43"/>
        <v>0</v>
      </c>
      <c r="AT39" s="53">
        <f t="shared" si="43"/>
        <v>0</v>
      </c>
      <c r="AU39" s="51">
        <f t="shared" si="43"/>
        <v>0</v>
      </c>
      <c r="AV39" s="52">
        <f t="shared" si="30"/>
        <v>0</v>
      </c>
      <c r="AW39" s="53">
        <f t="shared" si="30"/>
        <v>0</v>
      </c>
      <c r="AX39" s="51">
        <f t="shared" si="30"/>
        <v>0</v>
      </c>
      <c r="AY39" s="52">
        <f t="shared" si="30"/>
        <v>0</v>
      </c>
      <c r="AZ39" s="53">
        <f t="shared" si="30"/>
        <v>0</v>
      </c>
      <c r="BA39" s="51">
        <f t="shared" si="30"/>
        <v>0</v>
      </c>
      <c r="BB39" s="52">
        <f t="shared" si="30"/>
        <v>0</v>
      </c>
      <c r="BC39" s="53">
        <f t="shared" si="30"/>
        <v>0</v>
      </c>
      <c r="BD39" s="51">
        <f t="shared" si="30"/>
        <v>0</v>
      </c>
      <c r="BE39" s="52">
        <f t="shared" si="30"/>
        <v>0</v>
      </c>
      <c r="BF39" s="53">
        <f t="shared" si="30"/>
        <v>0</v>
      </c>
      <c r="BG39" s="51">
        <f t="shared" si="30"/>
        <v>0</v>
      </c>
      <c r="BH39" s="52">
        <f t="shared" si="30"/>
        <v>0</v>
      </c>
      <c r="BI39" s="53">
        <f t="shared" si="30"/>
        <v>0</v>
      </c>
      <c r="BJ39" s="51">
        <f t="shared" si="30"/>
        <v>0</v>
      </c>
      <c r="BK39" s="52">
        <f t="shared" ref="BK39:BZ52" si="44">IF($L39=BK$6,$M39,0)</f>
        <v>0</v>
      </c>
      <c r="BL39" s="53">
        <f t="shared" si="44"/>
        <v>0</v>
      </c>
      <c r="BM39" s="51">
        <f t="shared" si="44"/>
        <v>0</v>
      </c>
      <c r="BN39" s="52">
        <f t="shared" si="44"/>
        <v>0</v>
      </c>
      <c r="BO39" s="53">
        <f t="shared" si="44"/>
        <v>0</v>
      </c>
      <c r="BP39" s="51">
        <f t="shared" si="44"/>
        <v>0</v>
      </c>
      <c r="BQ39" s="52">
        <f t="shared" si="44"/>
        <v>0</v>
      </c>
      <c r="BR39" s="53">
        <f t="shared" si="44"/>
        <v>0</v>
      </c>
      <c r="BS39" s="51">
        <f t="shared" si="44"/>
        <v>0</v>
      </c>
      <c r="BT39" s="52">
        <f t="shared" si="44"/>
        <v>0</v>
      </c>
      <c r="BU39" s="53">
        <f t="shared" si="44"/>
        <v>0</v>
      </c>
      <c r="BV39" s="51">
        <f t="shared" si="44"/>
        <v>0</v>
      </c>
      <c r="BW39" s="52">
        <f t="shared" si="44"/>
        <v>0</v>
      </c>
      <c r="BX39" s="53">
        <f t="shared" si="44"/>
        <v>0</v>
      </c>
      <c r="BY39" s="51">
        <f t="shared" si="44"/>
        <v>0</v>
      </c>
      <c r="BZ39" s="52">
        <f t="shared" si="44"/>
        <v>0</v>
      </c>
      <c r="CA39" s="53">
        <f t="shared" si="31"/>
        <v>0</v>
      </c>
      <c r="CB39" s="51">
        <f t="shared" si="31"/>
        <v>0</v>
      </c>
      <c r="CC39" s="52">
        <f t="shared" si="31"/>
        <v>0</v>
      </c>
      <c r="CD39" s="53">
        <f t="shared" si="31"/>
        <v>0</v>
      </c>
      <c r="CE39" s="51">
        <f t="shared" si="31"/>
        <v>0</v>
      </c>
      <c r="CF39" s="52">
        <f t="shared" si="31"/>
        <v>0</v>
      </c>
      <c r="CG39" s="53">
        <f t="shared" si="31"/>
        <v>0</v>
      </c>
      <c r="CH39" s="51">
        <f t="shared" si="31"/>
        <v>0</v>
      </c>
      <c r="CI39" s="52">
        <f t="shared" si="31"/>
        <v>0</v>
      </c>
      <c r="CJ39" s="40"/>
      <c r="CK39" s="54">
        <f t="shared" si="13"/>
        <v>0</v>
      </c>
      <c r="CL39" s="54">
        <f t="shared" si="14"/>
        <v>0</v>
      </c>
      <c r="CM39" s="54">
        <f t="shared" si="15"/>
        <v>0</v>
      </c>
      <c r="CN39" s="54">
        <f t="shared" si="16"/>
        <v>0</v>
      </c>
      <c r="CO39" s="54">
        <f t="shared" si="17"/>
        <v>0</v>
      </c>
      <c r="CP39" s="54">
        <f t="shared" si="18"/>
        <v>0</v>
      </c>
      <c r="CQ39" s="54">
        <f t="shared" si="19"/>
        <v>0</v>
      </c>
      <c r="CR39" s="54">
        <f t="shared" si="20"/>
        <v>200000</v>
      </c>
      <c r="CS39" s="55">
        <f t="shared" si="33"/>
        <v>0</v>
      </c>
      <c r="CT39" s="55">
        <f t="shared" si="33"/>
        <v>0</v>
      </c>
      <c r="CU39" s="55">
        <f t="shared" si="33"/>
        <v>0</v>
      </c>
      <c r="CV39" s="55">
        <f t="shared" si="33"/>
        <v>0</v>
      </c>
      <c r="CW39" s="55">
        <f t="shared" si="33"/>
        <v>0</v>
      </c>
      <c r="CX39" s="55">
        <f t="shared" si="33"/>
        <v>0</v>
      </c>
      <c r="CY39" s="55">
        <f t="shared" si="33"/>
        <v>0</v>
      </c>
      <c r="CZ39" s="55">
        <f t="shared" si="33"/>
        <v>0</v>
      </c>
      <c r="DA39" s="55">
        <f t="shared" si="33"/>
        <v>0</v>
      </c>
      <c r="DB39" s="55">
        <f t="shared" si="33"/>
        <v>0</v>
      </c>
      <c r="DC39" s="55">
        <f t="shared" si="33"/>
        <v>0</v>
      </c>
      <c r="DD39" s="55">
        <f t="shared" si="33"/>
        <v>0</v>
      </c>
      <c r="DE39" s="55">
        <f t="shared" si="33"/>
        <v>0</v>
      </c>
      <c r="DF39" s="55">
        <f t="shared" si="33"/>
        <v>0</v>
      </c>
      <c r="DG39" s="55">
        <f t="shared" si="33"/>
        <v>0</v>
      </c>
      <c r="DH39" s="55">
        <f t="shared" si="33"/>
        <v>0</v>
      </c>
      <c r="DI39" s="40"/>
      <c r="DJ39" s="54">
        <f t="shared" si="32"/>
        <v>0</v>
      </c>
      <c r="DK39" s="56">
        <f t="shared" si="32"/>
        <v>200000</v>
      </c>
      <c r="DL39" s="57">
        <f t="shared" si="32"/>
        <v>0</v>
      </c>
      <c r="DM39" s="57">
        <f t="shared" si="32"/>
        <v>0</v>
      </c>
      <c r="DN39" s="57">
        <f t="shared" si="32"/>
        <v>0</v>
      </c>
      <c r="DO39" s="58">
        <f t="shared" si="32"/>
        <v>0</v>
      </c>
    </row>
    <row r="40" spans="1:119" ht="14.45">
      <c r="A40" s="23">
        <f t="shared" si="23"/>
        <v>26</v>
      </c>
      <c r="B40" s="23" t="s">
        <v>165</v>
      </c>
      <c r="C40" s="23">
        <v>40000</v>
      </c>
      <c r="D40" s="23" t="s">
        <v>166</v>
      </c>
      <c r="E40" s="44" t="s">
        <v>165</v>
      </c>
      <c r="F40" s="45" t="str">
        <f t="shared" si="24"/>
        <v>4800</v>
      </c>
      <c r="G40" s="23" t="s">
        <v>167</v>
      </c>
      <c r="H40" s="45" t="str">
        <f t="shared" si="7"/>
        <v>M9000</v>
      </c>
      <c r="I40" s="23" t="s">
        <v>172</v>
      </c>
      <c r="J40" s="119" t="s">
        <v>14</v>
      </c>
      <c r="K40" s="46" t="s">
        <v>210</v>
      </c>
      <c r="L40" s="47">
        <v>46235</v>
      </c>
      <c r="M40" s="48">
        <v>500000</v>
      </c>
      <c r="N40" s="49">
        <v>120</v>
      </c>
      <c r="O40" s="50">
        <f t="shared" si="25"/>
        <v>49857</v>
      </c>
      <c r="P40" s="51">
        <f t="shared" ref="P40:AE52" si="45">IF($L40=P$6,$M40,0)</f>
        <v>0</v>
      </c>
      <c r="Q40" s="51">
        <f t="shared" si="45"/>
        <v>0</v>
      </c>
      <c r="R40" s="52">
        <f t="shared" si="45"/>
        <v>0</v>
      </c>
      <c r="S40" s="53">
        <f t="shared" si="45"/>
        <v>0</v>
      </c>
      <c r="T40" s="51">
        <f t="shared" si="45"/>
        <v>0</v>
      </c>
      <c r="U40" s="52">
        <f t="shared" si="45"/>
        <v>0</v>
      </c>
      <c r="V40" s="53">
        <f t="shared" si="45"/>
        <v>0</v>
      </c>
      <c r="W40" s="51">
        <f t="shared" si="45"/>
        <v>0</v>
      </c>
      <c r="X40" s="52">
        <f t="shared" si="45"/>
        <v>0</v>
      </c>
      <c r="Y40" s="53">
        <f t="shared" si="45"/>
        <v>0</v>
      </c>
      <c r="Z40" s="51">
        <f t="shared" si="45"/>
        <v>0</v>
      </c>
      <c r="AA40" s="52">
        <f t="shared" si="45"/>
        <v>0</v>
      </c>
      <c r="AB40" s="53">
        <f t="shared" si="45"/>
        <v>0</v>
      </c>
      <c r="AC40" s="51">
        <f t="shared" si="45"/>
        <v>0</v>
      </c>
      <c r="AD40" s="52">
        <f t="shared" si="45"/>
        <v>0</v>
      </c>
      <c r="AE40" s="53">
        <f t="shared" si="45"/>
        <v>0</v>
      </c>
      <c r="AF40" s="51">
        <f t="shared" si="43"/>
        <v>0</v>
      </c>
      <c r="AG40" s="52">
        <f t="shared" si="43"/>
        <v>0</v>
      </c>
      <c r="AH40" s="53">
        <f t="shared" si="43"/>
        <v>0</v>
      </c>
      <c r="AI40" s="51">
        <f t="shared" si="43"/>
        <v>500000</v>
      </c>
      <c r="AJ40" s="52">
        <f t="shared" si="43"/>
        <v>0</v>
      </c>
      <c r="AK40" s="53">
        <f t="shared" si="43"/>
        <v>0</v>
      </c>
      <c r="AL40" s="51">
        <f t="shared" si="43"/>
        <v>0</v>
      </c>
      <c r="AM40" s="52">
        <f t="shared" si="43"/>
        <v>0</v>
      </c>
      <c r="AN40" s="53">
        <f t="shared" si="43"/>
        <v>0</v>
      </c>
      <c r="AO40" s="51">
        <f t="shared" si="43"/>
        <v>0</v>
      </c>
      <c r="AP40" s="52">
        <f t="shared" si="43"/>
        <v>0</v>
      </c>
      <c r="AQ40" s="53">
        <f t="shared" si="43"/>
        <v>0</v>
      </c>
      <c r="AR40" s="51">
        <f t="shared" si="43"/>
        <v>0</v>
      </c>
      <c r="AS40" s="52">
        <f t="shared" si="43"/>
        <v>0</v>
      </c>
      <c r="AT40" s="53">
        <f t="shared" si="43"/>
        <v>0</v>
      </c>
      <c r="AU40" s="51">
        <f t="shared" si="43"/>
        <v>0</v>
      </c>
      <c r="AV40" s="52">
        <f t="shared" ref="AV40:BK52" si="46">IF($L40=AV$6,$M40,0)</f>
        <v>0</v>
      </c>
      <c r="AW40" s="53">
        <f t="shared" si="46"/>
        <v>0</v>
      </c>
      <c r="AX40" s="51">
        <f t="shared" si="46"/>
        <v>0</v>
      </c>
      <c r="AY40" s="52">
        <f t="shared" si="46"/>
        <v>0</v>
      </c>
      <c r="AZ40" s="53">
        <f t="shared" si="46"/>
        <v>0</v>
      </c>
      <c r="BA40" s="51">
        <f t="shared" si="46"/>
        <v>0</v>
      </c>
      <c r="BB40" s="52">
        <f t="shared" si="46"/>
        <v>0</v>
      </c>
      <c r="BC40" s="53">
        <f t="shared" si="46"/>
        <v>0</v>
      </c>
      <c r="BD40" s="51">
        <f t="shared" si="46"/>
        <v>0</v>
      </c>
      <c r="BE40" s="52">
        <f t="shared" si="46"/>
        <v>0</v>
      </c>
      <c r="BF40" s="53">
        <f t="shared" si="46"/>
        <v>0</v>
      </c>
      <c r="BG40" s="51">
        <f t="shared" si="46"/>
        <v>0</v>
      </c>
      <c r="BH40" s="52">
        <f t="shared" si="46"/>
        <v>0</v>
      </c>
      <c r="BI40" s="53">
        <f t="shared" si="46"/>
        <v>0</v>
      </c>
      <c r="BJ40" s="51">
        <f t="shared" si="46"/>
        <v>0</v>
      </c>
      <c r="BK40" s="52">
        <f t="shared" si="46"/>
        <v>0</v>
      </c>
      <c r="BL40" s="53">
        <f t="shared" si="44"/>
        <v>0</v>
      </c>
      <c r="BM40" s="51">
        <f t="shared" si="44"/>
        <v>0</v>
      </c>
      <c r="BN40" s="52">
        <f t="shared" si="44"/>
        <v>0</v>
      </c>
      <c r="BO40" s="53">
        <f t="shared" si="44"/>
        <v>0</v>
      </c>
      <c r="BP40" s="51">
        <f t="shared" si="44"/>
        <v>0</v>
      </c>
      <c r="BQ40" s="52">
        <f t="shared" si="44"/>
        <v>0</v>
      </c>
      <c r="BR40" s="53">
        <f t="shared" si="44"/>
        <v>0</v>
      </c>
      <c r="BS40" s="51">
        <f t="shared" si="44"/>
        <v>0</v>
      </c>
      <c r="BT40" s="52">
        <f t="shared" si="44"/>
        <v>0</v>
      </c>
      <c r="BU40" s="53">
        <f t="shared" si="44"/>
        <v>0</v>
      </c>
      <c r="BV40" s="51">
        <f t="shared" si="44"/>
        <v>0</v>
      </c>
      <c r="BW40" s="52">
        <f t="shared" si="44"/>
        <v>0</v>
      </c>
      <c r="BX40" s="53">
        <f t="shared" si="44"/>
        <v>0</v>
      </c>
      <c r="BY40" s="51">
        <f t="shared" si="44"/>
        <v>0</v>
      </c>
      <c r="BZ40" s="52">
        <f t="shared" si="44"/>
        <v>0</v>
      </c>
      <c r="CA40" s="53">
        <f t="shared" ref="CA40:CI52" si="47">IF($L40=CA$6,$M40,0)</f>
        <v>0</v>
      </c>
      <c r="CB40" s="51">
        <f t="shared" si="47"/>
        <v>0</v>
      </c>
      <c r="CC40" s="52">
        <f t="shared" si="47"/>
        <v>0</v>
      </c>
      <c r="CD40" s="53">
        <f t="shared" si="47"/>
        <v>0</v>
      </c>
      <c r="CE40" s="51">
        <f t="shared" si="47"/>
        <v>0</v>
      </c>
      <c r="CF40" s="52">
        <f t="shared" si="47"/>
        <v>0</v>
      </c>
      <c r="CG40" s="53">
        <f t="shared" si="47"/>
        <v>0</v>
      </c>
      <c r="CH40" s="51">
        <f t="shared" si="47"/>
        <v>0</v>
      </c>
      <c r="CI40" s="52">
        <f t="shared" si="47"/>
        <v>0</v>
      </c>
      <c r="CJ40" s="40"/>
      <c r="CK40" s="54">
        <f t="shared" si="13"/>
        <v>0</v>
      </c>
      <c r="CL40" s="54">
        <f t="shared" si="14"/>
        <v>0</v>
      </c>
      <c r="CM40" s="54">
        <f t="shared" si="15"/>
        <v>0</v>
      </c>
      <c r="CN40" s="54">
        <f t="shared" si="16"/>
        <v>0</v>
      </c>
      <c r="CO40" s="54">
        <f t="shared" si="17"/>
        <v>0</v>
      </c>
      <c r="CP40" s="54">
        <f t="shared" si="18"/>
        <v>0</v>
      </c>
      <c r="CQ40" s="54">
        <f t="shared" si="19"/>
        <v>500000</v>
      </c>
      <c r="CR40" s="54">
        <f t="shared" si="20"/>
        <v>0</v>
      </c>
      <c r="CS40" s="55">
        <f t="shared" si="33"/>
        <v>0</v>
      </c>
      <c r="CT40" s="55">
        <f t="shared" si="33"/>
        <v>0</v>
      </c>
      <c r="CU40" s="55">
        <f t="shared" si="33"/>
        <v>0</v>
      </c>
      <c r="CV40" s="55">
        <f t="shared" si="33"/>
        <v>0</v>
      </c>
      <c r="CW40" s="55">
        <f t="shared" si="33"/>
        <v>0</v>
      </c>
      <c r="CX40" s="55">
        <f t="shared" si="33"/>
        <v>0</v>
      </c>
      <c r="CY40" s="55">
        <f t="shared" si="33"/>
        <v>0</v>
      </c>
      <c r="CZ40" s="55">
        <f t="shared" si="33"/>
        <v>0</v>
      </c>
      <c r="DA40" s="55">
        <f t="shared" si="33"/>
        <v>0</v>
      </c>
      <c r="DB40" s="55">
        <f t="shared" si="33"/>
        <v>0</v>
      </c>
      <c r="DC40" s="55">
        <f t="shared" si="33"/>
        <v>0</v>
      </c>
      <c r="DD40" s="55">
        <f t="shared" si="33"/>
        <v>0</v>
      </c>
      <c r="DE40" s="55">
        <f t="shared" si="33"/>
        <v>0</v>
      </c>
      <c r="DF40" s="55">
        <f t="shared" si="33"/>
        <v>0</v>
      </c>
      <c r="DG40" s="55">
        <f t="shared" si="33"/>
        <v>0</v>
      </c>
      <c r="DH40" s="55">
        <f t="shared" ref="DH40" si="48">SUMIFS($P40:$CI40,$P$3:$CI$3,DH$6)</f>
        <v>0</v>
      </c>
      <c r="DI40" s="40"/>
      <c r="DJ40" s="54">
        <f t="shared" si="32"/>
        <v>0</v>
      </c>
      <c r="DK40" s="56">
        <f t="shared" si="32"/>
        <v>500000</v>
      </c>
      <c r="DL40" s="57">
        <f t="shared" si="32"/>
        <v>0</v>
      </c>
      <c r="DM40" s="57">
        <f t="shared" si="32"/>
        <v>0</v>
      </c>
      <c r="DN40" s="57">
        <f t="shared" si="32"/>
        <v>0</v>
      </c>
      <c r="DO40" s="58">
        <f t="shared" si="32"/>
        <v>0</v>
      </c>
    </row>
    <row r="41" spans="1:119" ht="14.45">
      <c r="A41" s="23">
        <f t="shared" si="23"/>
        <v>27</v>
      </c>
      <c r="B41" s="23" t="s">
        <v>165</v>
      </c>
      <c r="C41" s="23">
        <v>40000</v>
      </c>
      <c r="D41" s="23" t="s">
        <v>166</v>
      </c>
      <c r="E41" s="44" t="s">
        <v>165</v>
      </c>
      <c r="F41" s="45" t="str">
        <f t="shared" si="24"/>
        <v>4800</v>
      </c>
      <c r="G41" s="23" t="s">
        <v>167</v>
      </c>
      <c r="H41" s="45" t="str">
        <f t="shared" si="7"/>
        <v>M9002</v>
      </c>
      <c r="I41" s="23" t="s">
        <v>197</v>
      </c>
      <c r="J41" s="23" t="s">
        <v>3</v>
      </c>
      <c r="K41" s="46" t="s">
        <v>211</v>
      </c>
      <c r="L41" s="47">
        <v>46082</v>
      </c>
      <c r="M41" s="48">
        <v>105000</v>
      </c>
      <c r="N41" s="49">
        <v>36</v>
      </c>
      <c r="O41" s="50">
        <f t="shared" si="25"/>
        <v>47150</v>
      </c>
      <c r="P41" s="51">
        <f t="shared" si="45"/>
        <v>0</v>
      </c>
      <c r="Q41" s="51">
        <f t="shared" si="45"/>
        <v>0</v>
      </c>
      <c r="R41" s="52">
        <f t="shared" si="45"/>
        <v>0</v>
      </c>
      <c r="S41" s="53">
        <f t="shared" si="45"/>
        <v>0</v>
      </c>
      <c r="T41" s="51">
        <f t="shared" si="45"/>
        <v>0</v>
      </c>
      <c r="U41" s="52">
        <f t="shared" si="45"/>
        <v>0</v>
      </c>
      <c r="V41" s="53">
        <f t="shared" si="45"/>
        <v>0</v>
      </c>
      <c r="W41" s="51">
        <f t="shared" si="45"/>
        <v>0</v>
      </c>
      <c r="X41" s="52">
        <f t="shared" si="45"/>
        <v>0</v>
      </c>
      <c r="Y41" s="53">
        <f t="shared" si="45"/>
        <v>0</v>
      </c>
      <c r="Z41" s="51">
        <f t="shared" si="45"/>
        <v>0</v>
      </c>
      <c r="AA41" s="52">
        <f t="shared" si="45"/>
        <v>0</v>
      </c>
      <c r="AB41" s="53">
        <f t="shared" si="45"/>
        <v>0</v>
      </c>
      <c r="AC41" s="51">
        <f t="shared" si="45"/>
        <v>0</v>
      </c>
      <c r="AD41" s="52">
        <f t="shared" si="45"/>
        <v>105000</v>
      </c>
      <c r="AE41" s="53">
        <f t="shared" si="45"/>
        <v>0</v>
      </c>
      <c r="AF41" s="51">
        <f t="shared" si="43"/>
        <v>0</v>
      </c>
      <c r="AG41" s="52">
        <f t="shared" si="43"/>
        <v>0</v>
      </c>
      <c r="AH41" s="53">
        <f t="shared" si="43"/>
        <v>0</v>
      </c>
      <c r="AI41" s="51">
        <f t="shared" si="43"/>
        <v>0</v>
      </c>
      <c r="AJ41" s="52">
        <f t="shared" si="43"/>
        <v>0</v>
      </c>
      <c r="AK41" s="53">
        <f t="shared" si="43"/>
        <v>0</v>
      </c>
      <c r="AL41" s="51">
        <f t="shared" si="43"/>
        <v>0</v>
      </c>
      <c r="AM41" s="52">
        <f t="shared" si="43"/>
        <v>0</v>
      </c>
      <c r="AN41" s="53">
        <f t="shared" si="43"/>
        <v>0</v>
      </c>
      <c r="AO41" s="51">
        <f t="shared" si="43"/>
        <v>0</v>
      </c>
      <c r="AP41" s="52">
        <f t="shared" si="43"/>
        <v>0</v>
      </c>
      <c r="AQ41" s="53">
        <f t="shared" si="43"/>
        <v>0</v>
      </c>
      <c r="AR41" s="51">
        <f t="shared" si="43"/>
        <v>0</v>
      </c>
      <c r="AS41" s="52">
        <f t="shared" si="43"/>
        <v>0</v>
      </c>
      <c r="AT41" s="53">
        <f t="shared" si="43"/>
        <v>0</v>
      </c>
      <c r="AU41" s="51">
        <f t="shared" si="43"/>
        <v>0</v>
      </c>
      <c r="AV41" s="52">
        <f t="shared" si="46"/>
        <v>0</v>
      </c>
      <c r="AW41" s="53">
        <f t="shared" si="46"/>
        <v>0</v>
      </c>
      <c r="AX41" s="51">
        <f t="shared" si="46"/>
        <v>0</v>
      </c>
      <c r="AY41" s="52">
        <f t="shared" si="46"/>
        <v>0</v>
      </c>
      <c r="AZ41" s="53">
        <f t="shared" si="46"/>
        <v>0</v>
      </c>
      <c r="BA41" s="51">
        <f t="shared" si="46"/>
        <v>0</v>
      </c>
      <c r="BB41" s="52">
        <f t="shared" si="46"/>
        <v>0</v>
      </c>
      <c r="BC41" s="53">
        <f t="shared" si="46"/>
        <v>0</v>
      </c>
      <c r="BD41" s="51">
        <f t="shared" si="46"/>
        <v>0</v>
      </c>
      <c r="BE41" s="52">
        <f t="shared" si="46"/>
        <v>0</v>
      </c>
      <c r="BF41" s="53">
        <f t="shared" si="46"/>
        <v>0</v>
      </c>
      <c r="BG41" s="51">
        <f t="shared" si="46"/>
        <v>0</v>
      </c>
      <c r="BH41" s="52">
        <f t="shared" si="46"/>
        <v>0</v>
      </c>
      <c r="BI41" s="53">
        <f t="shared" si="46"/>
        <v>0</v>
      </c>
      <c r="BJ41" s="51">
        <f t="shared" si="46"/>
        <v>0</v>
      </c>
      <c r="BK41" s="52">
        <f t="shared" si="46"/>
        <v>0</v>
      </c>
      <c r="BL41" s="53">
        <f t="shared" si="44"/>
        <v>0</v>
      </c>
      <c r="BM41" s="51">
        <f t="shared" si="44"/>
        <v>0</v>
      </c>
      <c r="BN41" s="52">
        <f t="shared" si="44"/>
        <v>0</v>
      </c>
      <c r="BO41" s="53">
        <f t="shared" si="44"/>
        <v>0</v>
      </c>
      <c r="BP41" s="51">
        <f t="shared" si="44"/>
        <v>0</v>
      </c>
      <c r="BQ41" s="52">
        <f t="shared" si="44"/>
        <v>0</v>
      </c>
      <c r="BR41" s="53">
        <f t="shared" si="44"/>
        <v>0</v>
      </c>
      <c r="BS41" s="51">
        <f t="shared" si="44"/>
        <v>0</v>
      </c>
      <c r="BT41" s="52">
        <f t="shared" si="44"/>
        <v>0</v>
      </c>
      <c r="BU41" s="53">
        <f t="shared" si="44"/>
        <v>0</v>
      </c>
      <c r="BV41" s="51">
        <f t="shared" si="44"/>
        <v>0</v>
      </c>
      <c r="BW41" s="52">
        <f t="shared" si="44"/>
        <v>0</v>
      </c>
      <c r="BX41" s="53">
        <f t="shared" si="44"/>
        <v>0</v>
      </c>
      <c r="BY41" s="51">
        <f t="shared" si="44"/>
        <v>0</v>
      </c>
      <c r="BZ41" s="52">
        <f t="shared" si="44"/>
        <v>0</v>
      </c>
      <c r="CA41" s="53">
        <f t="shared" si="47"/>
        <v>0</v>
      </c>
      <c r="CB41" s="51">
        <f t="shared" si="47"/>
        <v>0</v>
      </c>
      <c r="CC41" s="52">
        <f t="shared" si="47"/>
        <v>0</v>
      </c>
      <c r="CD41" s="53">
        <f t="shared" si="47"/>
        <v>0</v>
      </c>
      <c r="CE41" s="51">
        <f t="shared" si="47"/>
        <v>0</v>
      </c>
      <c r="CF41" s="52">
        <f t="shared" si="47"/>
        <v>0</v>
      </c>
      <c r="CG41" s="53">
        <f t="shared" si="47"/>
        <v>0</v>
      </c>
      <c r="CH41" s="51">
        <f t="shared" si="47"/>
        <v>0</v>
      </c>
      <c r="CI41" s="52">
        <f t="shared" si="47"/>
        <v>0</v>
      </c>
      <c r="CJ41" s="40"/>
      <c r="CK41" s="54">
        <f t="shared" si="13"/>
        <v>0</v>
      </c>
      <c r="CL41" s="54">
        <f t="shared" si="14"/>
        <v>0</v>
      </c>
      <c r="CM41" s="54">
        <f t="shared" si="15"/>
        <v>0</v>
      </c>
      <c r="CN41" s="54">
        <f t="shared" si="16"/>
        <v>0</v>
      </c>
      <c r="CO41" s="54">
        <f t="shared" si="17"/>
        <v>105000</v>
      </c>
      <c r="CP41" s="54">
        <f t="shared" si="18"/>
        <v>0</v>
      </c>
      <c r="CQ41" s="54">
        <f t="shared" si="19"/>
        <v>0</v>
      </c>
      <c r="CR41" s="54">
        <f t="shared" si="20"/>
        <v>0</v>
      </c>
      <c r="CS41" s="55">
        <f t="shared" ref="CS41:DH52" si="49">SUMIFS($P41:$CI41,$P$3:$CI$3,CS$6)</f>
        <v>0</v>
      </c>
      <c r="CT41" s="55">
        <f t="shared" si="49"/>
        <v>0</v>
      </c>
      <c r="CU41" s="55">
        <f t="shared" si="49"/>
        <v>0</v>
      </c>
      <c r="CV41" s="55">
        <f t="shared" si="49"/>
        <v>0</v>
      </c>
      <c r="CW41" s="55">
        <f t="shared" si="49"/>
        <v>0</v>
      </c>
      <c r="CX41" s="55">
        <f t="shared" si="49"/>
        <v>0</v>
      </c>
      <c r="CY41" s="55">
        <f t="shared" si="49"/>
        <v>0</v>
      </c>
      <c r="CZ41" s="55">
        <f t="shared" si="49"/>
        <v>0</v>
      </c>
      <c r="DA41" s="55">
        <f t="shared" si="49"/>
        <v>0</v>
      </c>
      <c r="DB41" s="55">
        <f t="shared" si="49"/>
        <v>0</v>
      </c>
      <c r="DC41" s="55">
        <f t="shared" si="49"/>
        <v>0</v>
      </c>
      <c r="DD41" s="55">
        <f t="shared" si="49"/>
        <v>0</v>
      </c>
      <c r="DE41" s="55">
        <f t="shared" si="49"/>
        <v>0</v>
      </c>
      <c r="DF41" s="55">
        <f t="shared" si="49"/>
        <v>0</v>
      </c>
      <c r="DG41" s="55">
        <f t="shared" si="49"/>
        <v>0</v>
      </c>
      <c r="DH41" s="55">
        <f t="shared" si="49"/>
        <v>0</v>
      </c>
      <c r="DI41" s="40"/>
      <c r="DJ41" s="54">
        <f t="shared" si="32"/>
        <v>0</v>
      </c>
      <c r="DK41" s="56">
        <f t="shared" si="32"/>
        <v>105000</v>
      </c>
      <c r="DL41" s="57">
        <f t="shared" si="32"/>
        <v>0</v>
      </c>
      <c r="DM41" s="57">
        <f t="shared" si="32"/>
        <v>0</v>
      </c>
      <c r="DN41" s="57">
        <f t="shared" si="32"/>
        <v>0</v>
      </c>
      <c r="DO41" s="58">
        <f t="shared" si="32"/>
        <v>0</v>
      </c>
    </row>
    <row r="42" spans="1:119" ht="14.45">
      <c r="A42" s="23">
        <f t="shared" si="23"/>
        <v>28</v>
      </c>
      <c r="B42" s="23" t="s">
        <v>165</v>
      </c>
      <c r="C42" s="23">
        <v>40000</v>
      </c>
      <c r="D42" s="23" t="s">
        <v>166</v>
      </c>
      <c r="E42" s="44" t="s">
        <v>165</v>
      </c>
      <c r="F42" s="45" t="str">
        <f t="shared" si="24"/>
        <v>4800</v>
      </c>
      <c r="G42" s="23" t="s">
        <v>167</v>
      </c>
      <c r="H42" s="45" t="str">
        <f t="shared" si="7"/>
        <v>M9002</v>
      </c>
      <c r="I42" s="23" t="s">
        <v>197</v>
      </c>
      <c r="J42" s="23" t="s">
        <v>3</v>
      </c>
      <c r="K42" s="46" t="s">
        <v>211</v>
      </c>
      <c r="L42" s="47">
        <v>46174</v>
      </c>
      <c r="M42" s="48">
        <f t="shared" ref="M42:M44" si="50">350000/4</f>
        <v>87500</v>
      </c>
      <c r="N42" s="49">
        <v>36</v>
      </c>
      <c r="O42" s="50">
        <f t="shared" si="25"/>
        <v>47239</v>
      </c>
      <c r="P42" s="51">
        <f t="shared" si="45"/>
        <v>0</v>
      </c>
      <c r="Q42" s="51">
        <f t="shared" si="45"/>
        <v>0</v>
      </c>
      <c r="R42" s="52">
        <f t="shared" si="45"/>
        <v>0</v>
      </c>
      <c r="S42" s="53">
        <f t="shared" si="45"/>
        <v>0</v>
      </c>
      <c r="T42" s="51">
        <f t="shared" si="45"/>
        <v>0</v>
      </c>
      <c r="U42" s="52">
        <f t="shared" si="45"/>
        <v>0</v>
      </c>
      <c r="V42" s="53">
        <f t="shared" si="45"/>
        <v>0</v>
      </c>
      <c r="W42" s="51">
        <f t="shared" si="45"/>
        <v>0</v>
      </c>
      <c r="X42" s="52">
        <f t="shared" si="45"/>
        <v>0</v>
      </c>
      <c r="Y42" s="53">
        <f t="shared" si="45"/>
        <v>0</v>
      </c>
      <c r="Z42" s="51">
        <f t="shared" si="45"/>
        <v>0</v>
      </c>
      <c r="AA42" s="52">
        <f t="shared" si="45"/>
        <v>0</v>
      </c>
      <c r="AB42" s="53">
        <f t="shared" si="45"/>
        <v>0</v>
      </c>
      <c r="AC42" s="51">
        <f t="shared" si="45"/>
        <v>0</v>
      </c>
      <c r="AD42" s="52">
        <f t="shared" si="45"/>
        <v>0</v>
      </c>
      <c r="AE42" s="53">
        <f t="shared" si="45"/>
        <v>0</v>
      </c>
      <c r="AF42" s="51">
        <f t="shared" si="43"/>
        <v>0</v>
      </c>
      <c r="AG42" s="52">
        <f t="shared" si="43"/>
        <v>87500</v>
      </c>
      <c r="AH42" s="53">
        <f t="shared" si="43"/>
        <v>0</v>
      </c>
      <c r="AI42" s="51">
        <f t="shared" si="43"/>
        <v>0</v>
      </c>
      <c r="AJ42" s="52">
        <f t="shared" si="43"/>
        <v>0</v>
      </c>
      <c r="AK42" s="53">
        <f t="shared" si="43"/>
        <v>0</v>
      </c>
      <c r="AL42" s="51">
        <f t="shared" si="43"/>
        <v>0</v>
      </c>
      <c r="AM42" s="52">
        <f t="shared" si="43"/>
        <v>0</v>
      </c>
      <c r="AN42" s="53">
        <f t="shared" si="43"/>
        <v>0</v>
      </c>
      <c r="AO42" s="51">
        <f t="shared" si="43"/>
        <v>0</v>
      </c>
      <c r="AP42" s="52">
        <f t="shared" si="43"/>
        <v>0</v>
      </c>
      <c r="AQ42" s="53">
        <f t="shared" si="43"/>
        <v>0</v>
      </c>
      <c r="AR42" s="51">
        <f t="shared" si="43"/>
        <v>0</v>
      </c>
      <c r="AS42" s="52">
        <f t="shared" si="43"/>
        <v>0</v>
      </c>
      <c r="AT42" s="53">
        <f t="shared" si="43"/>
        <v>0</v>
      </c>
      <c r="AU42" s="51">
        <f t="shared" si="43"/>
        <v>0</v>
      </c>
      <c r="AV42" s="52">
        <f t="shared" si="46"/>
        <v>0</v>
      </c>
      <c r="AW42" s="53">
        <f t="shared" si="46"/>
        <v>0</v>
      </c>
      <c r="AX42" s="51">
        <f t="shared" si="46"/>
        <v>0</v>
      </c>
      <c r="AY42" s="52">
        <f t="shared" si="46"/>
        <v>0</v>
      </c>
      <c r="AZ42" s="53">
        <f t="shared" si="46"/>
        <v>0</v>
      </c>
      <c r="BA42" s="51">
        <f t="shared" si="46"/>
        <v>0</v>
      </c>
      <c r="BB42" s="52">
        <f t="shared" si="46"/>
        <v>0</v>
      </c>
      <c r="BC42" s="53">
        <f t="shared" si="46"/>
        <v>0</v>
      </c>
      <c r="BD42" s="51">
        <f t="shared" si="46"/>
        <v>0</v>
      </c>
      <c r="BE42" s="52">
        <f t="shared" si="46"/>
        <v>0</v>
      </c>
      <c r="BF42" s="53">
        <f t="shared" si="46"/>
        <v>0</v>
      </c>
      <c r="BG42" s="51">
        <f t="shared" si="46"/>
        <v>0</v>
      </c>
      <c r="BH42" s="52">
        <f t="shared" si="46"/>
        <v>0</v>
      </c>
      <c r="BI42" s="53">
        <f t="shared" si="46"/>
        <v>0</v>
      </c>
      <c r="BJ42" s="51">
        <f t="shared" si="46"/>
        <v>0</v>
      </c>
      <c r="BK42" s="52">
        <f t="shared" si="46"/>
        <v>0</v>
      </c>
      <c r="BL42" s="53">
        <f t="shared" si="44"/>
        <v>0</v>
      </c>
      <c r="BM42" s="51">
        <f t="shared" si="44"/>
        <v>0</v>
      </c>
      <c r="BN42" s="52">
        <f t="shared" si="44"/>
        <v>0</v>
      </c>
      <c r="BO42" s="53">
        <f t="shared" si="44"/>
        <v>0</v>
      </c>
      <c r="BP42" s="51">
        <f t="shared" si="44"/>
        <v>0</v>
      </c>
      <c r="BQ42" s="52">
        <f t="shared" si="44"/>
        <v>0</v>
      </c>
      <c r="BR42" s="53">
        <f t="shared" si="44"/>
        <v>0</v>
      </c>
      <c r="BS42" s="51">
        <f t="shared" si="44"/>
        <v>0</v>
      </c>
      <c r="BT42" s="52">
        <f t="shared" si="44"/>
        <v>0</v>
      </c>
      <c r="BU42" s="53">
        <f t="shared" si="44"/>
        <v>0</v>
      </c>
      <c r="BV42" s="51">
        <f t="shared" si="44"/>
        <v>0</v>
      </c>
      <c r="BW42" s="52">
        <f t="shared" si="44"/>
        <v>0</v>
      </c>
      <c r="BX42" s="53">
        <f t="shared" si="44"/>
        <v>0</v>
      </c>
      <c r="BY42" s="51">
        <f t="shared" si="44"/>
        <v>0</v>
      </c>
      <c r="BZ42" s="52">
        <f t="shared" si="44"/>
        <v>0</v>
      </c>
      <c r="CA42" s="53">
        <f t="shared" si="47"/>
        <v>0</v>
      </c>
      <c r="CB42" s="51">
        <f t="shared" si="47"/>
        <v>0</v>
      </c>
      <c r="CC42" s="52">
        <f t="shared" si="47"/>
        <v>0</v>
      </c>
      <c r="CD42" s="53">
        <f t="shared" si="47"/>
        <v>0</v>
      </c>
      <c r="CE42" s="51">
        <f t="shared" si="47"/>
        <v>0</v>
      </c>
      <c r="CF42" s="52">
        <f t="shared" si="47"/>
        <v>0</v>
      </c>
      <c r="CG42" s="53">
        <f t="shared" si="47"/>
        <v>0</v>
      </c>
      <c r="CH42" s="51">
        <f t="shared" si="47"/>
        <v>0</v>
      </c>
      <c r="CI42" s="52">
        <f t="shared" si="47"/>
        <v>0</v>
      </c>
      <c r="CJ42" s="40"/>
      <c r="CK42" s="54">
        <f t="shared" si="13"/>
        <v>0</v>
      </c>
      <c r="CL42" s="54">
        <f t="shared" si="14"/>
        <v>0</v>
      </c>
      <c r="CM42" s="54">
        <f t="shared" si="15"/>
        <v>0</v>
      </c>
      <c r="CN42" s="54">
        <f t="shared" si="16"/>
        <v>0</v>
      </c>
      <c r="CO42" s="54">
        <f t="shared" si="17"/>
        <v>0</v>
      </c>
      <c r="CP42" s="54">
        <f t="shared" si="18"/>
        <v>87500</v>
      </c>
      <c r="CQ42" s="54">
        <f t="shared" si="19"/>
        <v>0</v>
      </c>
      <c r="CR42" s="54">
        <f t="shared" si="20"/>
        <v>0</v>
      </c>
      <c r="CS42" s="55">
        <f t="shared" si="49"/>
        <v>0</v>
      </c>
      <c r="CT42" s="55">
        <f t="shared" si="49"/>
        <v>0</v>
      </c>
      <c r="CU42" s="55">
        <f t="shared" si="49"/>
        <v>0</v>
      </c>
      <c r="CV42" s="55">
        <f t="shared" si="49"/>
        <v>0</v>
      </c>
      <c r="CW42" s="55">
        <f t="shared" si="49"/>
        <v>0</v>
      </c>
      <c r="CX42" s="55">
        <f t="shared" si="49"/>
        <v>0</v>
      </c>
      <c r="CY42" s="55">
        <f t="shared" si="49"/>
        <v>0</v>
      </c>
      <c r="CZ42" s="55">
        <f t="shared" si="49"/>
        <v>0</v>
      </c>
      <c r="DA42" s="55">
        <f t="shared" si="49"/>
        <v>0</v>
      </c>
      <c r="DB42" s="55">
        <f t="shared" si="49"/>
        <v>0</v>
      </c>
      <c r="DC42" s="55">
        <f t="shared" si="49"/>
        <v>0</v>
      </c>
      <c r="DD42" s="55">
        <f t="shared" si="49"/>
        <v>0</v>
      </c>
      <c r="DE42" s="55">
        <f t="shared" si="49"/>
        <v>0</v>
      </c>
      <c r="DF42" s="55">
        <f t="shared" si="49"/>
        <v>0</v>
      </c>
      <c r="DG42" s="55">
        <f t="shared" si="49"/>
        <v>0</v>
      </c>
      <c r="DH42" s="55">
        <f t="shared" si="49"/>
        <v>0</v>
      </c>
      <c r="DI42" s="40"/>
      <c r="DJ42" s="54">
        <f t="shared" si="32"/>
        <v>0</v>
      </c>
      <c r="DK42" s="56">
        <f t="shared" si="32"/>
        <v>87500</v>
      </c>
      <c r="DL42" s="57">
        <f t="shared" si="32"/>
        <v>0</v>
      </c>
      <c r="DM42" s="57">
        <f t="shared" si="32"/>
        <v>0</v>
      </c>
      <c r="DN42" s="57">
        <f t="shared" si="32"/>
        <v>0</v>
      </c>
      <c r="DO42" s="58">
        <f t="shared" si="32"/>
        <v>0</v>
      </c>
    </row>
    <row r="43" spans="1:119" ht="14.45">
      <c r="A43" s="23">
        <f t="shared" si="23"/>
        <v>29</v>
      </c>
      <c r="B43" s="23" t="s">
        <v>165</v>
      </c>
      <c r="C43" s="23">
        <v>40000</v>
      </c>
      <c r="D43" s="23" t="s">
        <v>166</v>
      </c>
      <c r="E43" s="44" t="s">
        <v>165</v>
      </c>
      <c r="F43" s="45" t="str">
        <f t="shared" si="24"/>
        <v>4800</v>
      </c>
      <c r="G43" s="23" t="s">
        <v>167</v>
      </c>
      <c r="H43" s="45" t="str">
        <f t="shared" si="7"/>
        <v>M9003</v>
      </c>
      <c r="I43" s="23" t="s">
        <v>203</v>
      </c>
      <c r="J43" s="23" t="s">
        <v>3</v>
      </c>
      <c r="K43" s="46" t="s">
        <v>212</v>
      </c>
      <c r="L43" s="47">
        <v>46174</v>
      </c>
      <c r="M43" s="48">
        <v>105000</v>
      </c>
      <c r="N43" s="49">
        <v>36</v>
      </c>
      <c r="O43" s="50">
        <f t="shared" si="25"/>
        <v>47239</v>
      </c>
      <c r="P43" s="51">
        <f t="shared" si="45"/>
        <v>0</v>
      </c>
      <c r="Q43" s="51">
        <f t="shared" si="45"/>
        <v>0</v>
      </c>
      <c r="R43" s="52">
        <f t="shared" si="45"/>
        <v>0</v>
      </c>
      <c r="S43" s="53">
        <f t="shared" si="45"/>
        <v>0</v>
      </c>
      <c r="T43" s="51">
        <f t="shared" si="45"/>
        <v>0</v>
      </c>
      <c r="U43" s="52">
        <f t="shared" si="45"/>
        <v>0</v>
      </c>
      <c r="V43" s="53">
        <f t="shared" si="45"/>
        <v>0</v>
      </c>
      <c r="W43" s="51">
        <f t="shared" si="45"/>
        <v>0</v>
      </c>
      <c r="X43" s="52">
        <f t="shared" si="45"/>
        <v>0</v>
      </c>
      <c r="Y43" s="53">
        <f t="shared" si="45"/>
        <v>0</v>
      </c>
      <c r="Z43" s="51">
        <f t="shared" si="45"/>
        <v>0</v>
      </c>
      <c r="AA43" s="52">
        <f t="shared" si="45"/>
        <v>0</v>
      </c>
      <c r="AB43" s="53">
        <f t="shared" si="45"/>
        <v>0</v>
      </c>
      <c r="AC43" s="51">
        <f t="shared" si="45"/>
        <v>0</v>
      </c>
      <c r="AD43" s="52">
        <f t="shared" si="45"/>
        <v>0</v>
      </c>
      <c r="AE43" s="53">
        <f t="shared" si="45"/>
        <v>0</v>
      </c>
      <c r="AF43" s="51">
        <f t="shared" si="43"/>
        <v>0</v>
      </c>
      <c r="AG43" s="52">
        <f t="shared" si="43"/>
        <v>105000</v>
      </c>
      <c r="AH43" s="53">
        <f t="shared" si="43"/>
        <v>0</v>
      </c>
      <c r="AI43" s="51">
        <f t="shared" si="43"/>
        <v>0</v>
      </c>
      <c r="AJ43" s="52">
        <f t="shared" si="43"/>
        <v>0</v>
      </c>
      <c r="AK43" s="53">
        <f t="shared" si="43"/>
        <v>0</v>
      </c>
      <c r="AL43" s="51">
        <f t="shared" si="43"/>
        <v>0</v>
      </c>
      <c r="AM43" s="52">
        <f t="shared" si="43"/>
        <v>0</v>
      </c>
      <c r="AN43" s="53">
        <f t="shared" si="43"/>
        <v>0</v>
      </c>
      <c r="AO43" s="51">
        <f t="shared" si="43"/>
        <v>0</v>
      </c>
      <c r="AP43" s="52">
        <f t="shared" si="43"/>
        <v>0</v>
      </c>
      <c r="AQ43" s="53">
        <f t="shared" si="43"/>
        <v>0</v>
      </c>
      <c r="AR43" s="51">
        <f t="shared" si="43"/>
        <v>0</v>
      </c>
      <c r="AS43" s="52">
        <f t="shared" si="43"/>
        <v>0</v>
      </c>
      <c r="AT43" s="53">
        <f t="shared" si="43"/>
        <v>0</v>
      </c>
      <c r="AU43" s="51">
        <f t="shared" si="43"/>
        <v>0</v>
      </c>
      <c r="AV43" s="52">
        <f t="shared" si="46"/>
        <v>0</v>
      </c>
      <c r="AW43" s="53">
        <f t="shared" si="46"/>
        <v>0</v>
      </c>
      <c r="AX43" s="51">
        <f t="shared" si="46"/>
        <v>0</v>
      </c>
      <c r="AY43" s="52">
        <f t="shared" si="46"/>
        <v>0</v>
      </c>
      <c r="AZ43" s="53">
        <f t="shared" si="46"/>
        <v>0</v>
      </c>
      <c r="BA43" s="51">
        <f t="shared" si="46"/>
        <v>0</v>
      </c>
      <c r="BB43" s="52">
        <f t="shared" si="46"/>
        <v>0</v>
      </c>
      <c r="BC43" s="53">
        <f t="shared" si="46"/>
        <v>0</v>
      </c>
      <c r="BD43" s="51">
        <f t="shared" si="46"/>
        <v>0</v>
      </c>
      <c r="BE43" s="52">
        <f t="shared" si="46"/>
        <v>0</v>
      </c>
      <c r="BF43" s="53">
        <f t="shared" si="46"/>
        <v>0</v>
      </c>
      <c r="BG43" s="51">
        <f t="shared" si="46"/>
        <v>0</v>
      </c>
      <c r="BH43" s="52">
        <f t="shared" si="46"/>
        <v>0</v>
      </c>
      <c r="BI43" s="53">
        <f t="shared" si="46"/>
        <v>0</v>
      </c>
      <c r="BJ43" s="51">
        <f t="shared" si="46"/>
        <v>0</v>
      </c>
      <c r="BK43" s="52">
        <f t="shared" si="46"/>
        <v>0</v>
      </c>
      <c r="BL43" s="53">
        <f t="shared" si="44"/>
        <v>0</v>
      </c>
      <c r="BM43" s="51">
        <f t="shared" si="44"/>
        <v>0</v>
      </c>
      <c r="BN43" s="52">
        <f t="shared" si="44"/>
        <v>0</v>
      </c>
      <c r="BO43" s="53">
        <f t="shared" si="44"/>
        <v>0</v>
      </c>
      <c r="BP43" s="51">
        <f t="shared" si="44"/>
        <v>0</v>
      </c>
      <c r="BQ43" s="52">
        <f t="shared" si="44"/>
        <v>0</v>
      </c>
      <c r="BR43" s="53">
        <f t="shared" si="44"/>
        <v>0</v>
      </c>
      <c r="BS43" s="51">
        <f t="shared" si="44"/>
        <v>0</v>
      </c>
      <c r="BT43" s="52">
        <f t="shared" si="44"/>
        <v>0</v>
      </c>
      <c r="BU43" s="53">
        <f t="shared" si="44"/>
        <v>0</v>
      </c>
      <c r="BV43" s="51">
        <f t="shared" si="44"/>
        <v>0</v>
      </c>
      <c r="BW43" s="52">
        <f t="shared" si="44"/>
        <v>0</v>
      </c>
      <c r="BX43" s="53">
        <f t="shared" si="44"/>
        <v>0</v>
      </c>
      <c r="BY43" s="51">
        <f t="shared" si="44"/>
        <v>0</v>
      </c>
      <c r="BZ43" s="52">
        <f t="shared" si="44"/>
        <v>0</v>
      </c>
      <c r="CA43" s="53">
        <f t="shared" si="47"/>
        <v>0</v>
      </c>
      <c r="CB43" s="51">
        <f t="shared" si="47"/>
        <v>0</v>
      </c>
      <c r="CC43" s="52">
        <f t="shared" si="47"/>
        <v>0</v>
      </c>
      <c r="CD43" s="53">
        <f t="shared" si="47"/>
        <v>0</v>
      </c>
      <c r="CE43" s="51">
        <f t="shared" si="47"/>
        <v>0</v>
      </c>
      <c r="CF43" s="52">
        <f t="shared" si="47"/>
        <v>0</v>
      </c>
      <c r="CG43" s="53">
        <f t="shared" si="47"/>
        <v>0</v>
      </c>
      <c r="CH43" s="51">
        <f t="shared" si="47"/>
        <v>0</v>
      </c>
      <c r="CI43" s="52">
        <f t="shared" si="47"/>
        <v>0</v>
      </c>
      <c r="CJ43" s="40"/>
      <c r="CK43" s="54">
        <f t="shared" si="13"/>
        <v>0</v>
      </c>
      <c r="CL43" s="54">
        <f t="shared" si="14"/>
        <v>0</v>
      </c>
      <c r="CM43" s="54">
        <f t="shared" si="15"/>
        <v>0</v>
      </c>
      <c r="CN43" s="54">
        <f t="shared" si="16"/>
        <v>0</v>
      </c>
      <c r="CO43" s="54">
        <f t="shared" si="17"/>
        <v>0</v>
      </c>
      <c r="CP43" s="54">
        <f t="shared" si="18"/>
        <v>105000</v>
      </c>
      <c r="CQ43" s="54">
        <f t="shared" si="19"/>
        <v>0</v>
      </c>
      <c r="CR43" s="54">
        <f t="shared" si="20"/>
        <v>0</v>
      </c>
      <c r="CS43" s="55">
        <f t="shared" si="49"/>
        <v>0</v>
      </c>
      <c r="CT43" s="55">
        <f t="shared" si="49"/>
        <v>0</v>
      </c>
      <c r="CU43" s="55">
        <f t="shared" si="49"/>
        <v>0</v>
      </c>
      <c r="CV43" s="55">
        <f t="shared" si="49"/>
        <v>0</v>
      </c>
      <c r="CW43" s="55">
        <f t="shared" si="49"/>
        <v>0</v>
      </c>
      <c r="CX43" s="55">
        <f t="shared" si="49"/>
        <v>0</v>
      </c>
      <c r="CY43" s="55">
        <f t="shared" si="49"/>
        <v>0</v>
      </c>
      <c r="CZ43" s="55">
        <f t="shared" si="49"/>
        <v>0</v>
      </c>
      <c r="DA43" s="55">
        <f t="shared" si="49"/>
        <v>0</v>
      </c>
      <c r="DB43" s="55">
        <f t="shared" si="49"/>
        <v>0</v>
      </c>
      <c r="DC43" s="55">
        <f t="shared" si="49"/>
        <v>0</v>
      </c>
      <c r="DD43" s="55">
        <f t="shared" si="49"/>
        <v>0</v>
      </c>
      <c r="DE43" s="55">
        <f t="shared" si="49"/>
        <v>0</v>
      </c>
      <c r="DF43" s="55">
        <f t="shared" si="49"/>
        <v>0</v>
      </c>
      <c r="DG43" s="55">
        <f t="shared" si="49"/>
        <v>0</v>
      </c>
      <c r="DH43" s="55">
        <f t="shared" si="49"/>
        <v>0</v>
      </c>
      <c r="DI43" s="40"/>
      <c r="DJ43" s="54">
        <f t="shared" si="32"/>
        <v>0</v>
      </c>
      <c r="DK43" s="56">
        <f t="shared" si="32"/>
        <v>105000</v>
      </c>
      <c r="DL43" s="57">
        <f t="shared" si="32"/>
        <v>0</v>
      </c>
      <c r="DM43" s="57">
        <f t="shared" si="32"/>
        <v>0</v>
      </c>
      <c r="DN43" s="57">
        <f t="shared" si="32"/>
        <v>0</v>
      </c>
      <c r="DO43" s="58">
        <f t="shared" si="32"/>
        <v>0</v>
      </c>
    </row>
    <row r="44" spans="1:119" ht="14.45">
      <c r="A44" s="23">
        <f t="shared" si="23"/>
        <v>30</v>
      </c>
      <c r="B44" s="23" t="s">
        <v>165</v>
      </c>
      <c r="C44" s="23">
        <v>40000</v>
      </c>
      <c r="D44" s="23" t="s">
        <v>166</v>
      </c>
      <c r="E44" s="44" t="s">
        <v>165</v>
      </c>
      <c r="F44" s="45" t="str">
        <f t="shared" si="24"/>
        <v>4800</v>
      </c>
      <c r="G44" s="23" t="s">
        <v>167</v>
      </c>
      <c r="H44" s="45" t="str">
        <f t="shared" si="7"/>
        <v>M9003</v>
      </c>
      <c r="I44" s="23" t="s">
        <v>203</v>
      </c>
      <c r="J44" s="23" t="s">
        <v>3</v>
      </c>
      <c r="K44" s="46" t="s">
        <v>212</v>
      </c>
      <c r="L44" s="47">
        <v>46296</v>
      </c>
      <c r="M44" s="48">
        <f t="shared" si="50"/>
        <v>87500</v>
      </c>
      <c r="N44" s="49">
        <v>36</v>
      </c>
      <c r="O44" s="50">
        <f t="shared" si="25"/>
        <v>47362</v>
      </c>
      <c r="P44" s="51">
        <f t="shared" si="45"/>
        <v>0</v>
      </c>
      <c r="Q44" s="51">
        <f t="shared" si="45"/>
        <v>0</v>
      </c>
      <c r="R44" s="52">
        <f t="shared" si="45"/>
        <v>0</v>
      </c>
      <c r="S44" s="53">
        <f t="shared" si="45"/>
        <v>0</v>
      </c>
      <c r="T44" s="51">
        <f t="shared" si="45"/>
        <v>0</v>
      </c>
      <c r="U44" s="52">
        <f t="shared" si="45"/>
        <v>0</v>
      </c>
      <c r="V44" s="53">
        <f t="shared" si="45"/>
        <v>0</v>
      </c>
      <c r="W44" s="51">
        <f t="shared" si="45"/>
        <v>0</v>
      </c>
      <c r="X44" s="52">
        <f t="shared" si="45"/>
        <v>0</v>
      </c>
      <c r="Y44" s="53">
        <f t="shared" si="45"/>
        <v>0</v>
      </c>
      <c r="Z44" s="51">
        <f t="shared" si="45"/>
        <v>0</v>
      </c>
      <c r="AA44" s="52">
        <f t="shared" si="45"/>
        <v>0</v>
      </c>
      <c r="AB44" s="53">
        <f t="shared" si="45"/>
        <v>0</v>
      </c>
      <c r="AC44" s="51">
        <f t="shared" si="45"/>
        <v>0</v>
      </c>
      <c r="AD44" s="52">
        <f t="shared" si="45"/>
        <v>0</v>
      </c>
      <c r="AE44" s="53">
        <f t="shared" si="45"/>
        <v>0</v>
      </c>
      <c r="AF44" s="51">
        <f t="shared" si="43"/>
        <v>0</v>
      </c>
      <c r="AG44" s="52">
        <f t="shared" si="43"/>
        <v>0</v>
      </c>
      <c r="AH44" s="53">
        <f t="shared" si="43"/>
        <v>0</v>
      </c>
      <c r="AI44" s="51">
        <f t="shared" si="43"/>
        <v>0</v>
      </c>
      <c r="AJ44" s="52">
        <f t="shared" si="43"/>
        <v>0</v>
      </c>
      <c r="AK44" s="53">
        <f t="shared" si="43"/>
        <v>87500</v>
      </c>
      <c r="AL44" s="51">
        <f t="shared" si="43"/>
        <v>0</v>
      </c>
      <c r="AM44" s="52">
        <f t="shared" si="43"/>
        <v>0</v>
      </c>
      <c r="AN44" s="53">
        <f t="shared" si="43"/>
        <v>0</v>
      </c>
      <c r="AO44" s="51">
        <f t="shared" si="43"/>
        <v>0</v>
      </c>
      <c r="AP44" s="52">
        <f t="shared" si="43"/>
        <v>0</v>
      </c>
      <c r="AQ44" s="53">
        <f t="shared" si="43"/>
        <v>0</v>
      </c>
      <c r="AR44" s="51">
        <f t="shared" si="43"/>
        <v>0</v>
      </c>
      <c r="AS44" s="52">
        <f t="shared" si="43"/>
        <v>0</v>
      </c>
      <c r="AT44" s="53">
        <f t="shared" si="43"/>
        <v>0</v>
      </c>
      <c r="AU44" s="51">
        <f t="shared" si="43"/>
        <v>0</v>
      </c>
      <c r="AV44" s="52">
        <f t="shared" si="46"/>
        <v>0</v>
      </c>
      <c r="AW44" s="53">
        <f t="shared" si="46"/>
        <v>0</v>
      </c>
      <c r="AX44" s="51">
        <f t="shared" si="46"/>
        <v>0</v>
      </c>
      <c r="AY44" s="52">
        <f t="shared" si="46"/>
        <v>0</v>
      </c>
      <c r="AZ44" s="53">
        <f t="shared" si="46"/>
        <v>0</v>
      </c>
      <c r="BA44" s="51">
        <f t="shared" si="46"/>
        <v>0</v>
      </c>
      <c r="BB44" s="52">
        <f t="shared" si="46"/>
        <v>0</v>
      </c>
      <c r="BC44" s="53">
        <f t="shared" si="46"/>
        <v>0</v>
      </c>
      <c r="BD44" s="51">
        <f t="shared" si="46"/>
        <v>0</v>
      </c>
      <c r="BE44" s="52">
        <f t="shared" si="46"/>
        <v>0</v>
      </c>
      <c r="BF44" s="53">
        <f t="shared" si="46"/>
        <v>0</v>
      </c>
      <c r="BG44" s="51">
        <f t="shared" si="46"/>
        <v>0</v>
      </c>
      <c r="BH44" s="52">
        <f t="shared" si="46"/>
        <v>0</v>
      </c>
      <c r="BI44" s="53">
        <f t="shared" si="46"/>
        <v>0</v>
      </c>
      <c r="BJ44" s="51">
        <f t="shared" si="46"/>
        <v>0</v>
      </c>
      <c r="BK44" s="52">
        <f t="shared" si="46"/>
        <v>0</v>
      </c>
      <c r="BL44" s="53">
        <f t="shared" si="44"/>
        <v>0</v>
      </c>
      <c r="BM44" s="51">
        <f t="shared" si="44"/>
        <v>0</v>
      </c>
      <c r="BN44" s="52">
        <f t="shared" si="44"/>
        <v>0</v>
      </c>
      <c r="BO44" s="53">
        <f t="shared" si="44"/>
        <v>0</v>
      </c>
      <c r="BP44" s="51">
        <f t="shared" si="44"/>
        <v>0</v>
      </c>
      <c r="BQ44" s="52">
        <f t="shared" si="44"/>
        <v>0</v>
      </c>
      <c r="BR44" s="53">
        <f t="shared" si="44"/>
        <v>0</v>
      </c>
      <c r="BS44" s="51">
        <f t="shared" si="44"/>
        <v>0</v>
      </c>
      <c r="BT44" s="52">
        <f t="shared" si="44"/>
        <v>0</v>
      </c>
      <c r="BU44" s="53">
        <f t="shared" si="44"/>
        <v>0</v>
      </c>
      <c r="BV44" s="51">
        <f t="shared" si="44"/>
        <v>0</v>
      </c>
      <c r="BW44" s="52">
        <f t="shared" si="44"/>
        <v>0</v>
      </c>
      <c r="BX44" s="53">
        <f t="shared" si="44"/>
        <v>0</v>
      </c>
      <c r="BY44" s="51">
        <f t="shared" si="44"/>
        <v>0</v>
      </c>
      <c r="BZ44" s="52">
        <f t="shared" si="44"/>
        <v>0</v>
      </c>
      <c r="CA44" s="53">
        <f t="shared" si="47"/>
        <v>0</v>
      </c>
      <c r="CB44" s="51">
        <f t="shared" si="47"/>
        <v>0</v>
      </c>
      <c r="CC44" s="52">
        <f t="shared" si="47"/>
        <v>0</v>
      </c>
      <c r="CD44" s="53">
        <f t="shared" si="47"/>
        <v>0</v>
      </c>
      <c r="CE44" s="51">
        <f t="shared" si="47"/>
        <v>0</v>
      </c>
      <c r="CF44" s="52">
        <f t="shared" si="47"/>
        <v>0</v>
      </c>
      <c r="CG44" s="53">
        <f t="shared" si="47"/>
        <v>0</v>
      </c>
      <c r="CH44" s="51">
        <f t="shared" si="47"/>
        <v>0</v>
      </c>
      <c r="CI44" s="52">
        <f t="shared" si="47"/>
        <v>0</v>
      </c>
      <c r="CJ44" s="40"/>
      <c r="CK44" s="54">
        <f t="shared" si="13"/>
        <v>0</v>
      </c>
      <c r="CL44" s="54">
        <f t="shared" si="14"/>
        <v>0</v>
      </c>
      <c r="CM44" s="54">
        <f t="shared" si="15"/>
        <v>0</v>
      </c>
      <c r="CN44" s="54">
        <f t="shared" si="16"/>
        <v>0</v>
      </c>
      <c r="CO44" s="54">
        <f t="shared" si="17"/>
        <v>0</v>
      </c>
      <c r="CP44" s="54">
        <f t="shared" si="18"/>
        <v>0</v>
      </c>
      <c r="CQ44" s="54">
        <f t="shared" si="19"/>
        <v>0</v>
      </c>
      <c r="CR44" s="54">
        <f t="shared" si="20"/>
        <v>87500</v>
      </c>
      <c r="CS44" s="55">
        <f t="shared" si="49"/>
        <v>0</v>
      </c>
      <c r="CT44" s="55">
        <f t="shared" si="49"/>
        <v>0</v>
      </c>
      <c r="CU44" s="55">
        <f t="shared" si="49"/>
        <v>0</v>
      </c>
      <c r="CV44" s="55">
        <f t="shared" si="49"/>
        <v>0</v>
      </c>
      <c r="CW44" s="55">
        <f t="shared" si="49"/>
        <v>0</v>
      </c>
      <c r="CX44" s="55">
        <f t="shared" si="49"/>
        <v>0</v>
      </c>
      <c r="CY44" s="55">
        <f t="shared" si="49"/>
        <v>0</v>
      </c>
      <c r="CZ44" s="55">
        <f t="shared" si="49"/>
        <v>0</v>
      </c>
      <c r="DA44" s="55">
        <f t="shared" si="49"/>
        <v>0</v>
      </c>
      <c r="DB44" s="55">
        <f t="shared" si="49"/>
        <v>0</v>
      </c>
      <c r="DC44" s="55">
        <f t="shared" si="49"/>
        <v>0</v>
      </c>
      <c r="DD44" s="55">
        <f t="shared" si="49"/>
        <v>0</v>
      </c>
      <c r="DE44" s="55">
        <f t="shared" si="49"/>
        <v>0</v>
      </c>
      <c r="DF44" s="55">
        <f t="shared" si="49"/>
        <v>0</v>
      </c>
      <c r="DG44" s="55">
        <f t="shared" si="49"/>
        <v>0</v>
      </c>
      <c r="DH44" s="55">
        <f t="shared" si="49"/>
        <v>0</v>
      </c>
      <c r="DI44" s="40"/>
      <c r="DJ44" s="54">
        <f t="shared" si="32"/>
        <v>0</v>
      </c>
      <c r="DK44" s="56">
        <f t="shared" si="32"/>
        <v>87500</v>
      </c>
      <c r="DL44" s="57">
        <f t="shared" si="32"/>
        <v>0</v>
      </c>
      <c r="DM44" s="57">
        <f t="shared" si="32"/>
        <v>0</v>
      </c>
      <c r="DN44" s="57">
        <f t="shared" si="32"/>
        <v>0</v>
      </c>
      <c r="DO44" s="58">
        <f t="shared" si="32"/>
        <v>0</v>
      </c>
    </row>
    <row r="45" spans="1:119" ht="14.45">
      <c r="A45" s="23">
        <f t="shared" si="23"/>
        <v>31</v>
      </c>
      <c r="B45" s="23" t="s">
        <v>165</v>
      </c>
      <c r="C45" s="23">
        <v>40000</v>
      </c>
      <c r="D45" s="23" t="s">
        <v>166</v>
      </c>
      <c r="E45" s="44" t="s">
        <v>165</v>
      </c>
      <c r="F45" s="45" t="str">
        <f t="shared" si="24"/>
        <v>4800</v>
      </c>
      <c r="G45" s="23" t="s">
        <v>167</v>
      </c>
      <c r="H45" s="45" t="str">
        <f t="shared" si="7"/>
        <v>M9000</v>
      </c>
      <c r="I45" s="23" t="s">
        <v>172</v>
      </c>
      <c r="J45" s="119" t="s">
        <v>14</v>
      </c>
      <c r="K45" s="46" t="s">
        <v>213</v>
      </c>
      <c r="L45" s="47">
        <v>46235</v>
      </c>
      <c r="M45" s="48">
        <v>105000</v>
      </c>
      <c r="N45" s="49">
        <v>120</v>
      </c>
      <c r="O45" s="50">
        <f>IF(L45="","",EDATE(L45,N45-1))</f>
        <v>49857</v>
      </c>
      <c r="P45" s="51">
        <f t="shared" si="45"/>
        <v>0</v>
      </c>
      <c r="Q45" s="51">
        <f t="shared" si="45"/>
        <v>0</v>
      </c>
      <c r="R45" s="52">
        <f t="shared" si="45"/>
        <v>0</v>
      </c>
      <c r="S45" s="53">
        <f t="shared" si="45"/>
        <v>0</v>
      </c>
      <c r="T45" s="51">
        <f t="shared" si="45"/>
        <v>0</v>
      </c>
      <c r="U45" s="52">
        <f t="shared" si="45"/>
        <v>0</v>
      </c>
      <c r="V45" s="53">
        <f t="shared" si="45"/>
        <v>0</v>
      </c>
      <c r="W45" s="51">
        <f t="shared" si="45"/>
        <v>0</v>
      </c>
      <c r="X45" s="52">
        <f t="shared" si="45"/>
        <v>0</v>
      </c>
      <c r="Y45" s="53">
        <f t="shared" si="45"/>
        <v>0</v>
      </c>
      <c r="Z45" s="51">
        <f t="shared" si="45"/>
        <v>0</v>
      </c>
      <c r="AA45" s="52">
        <f t="shared" si="45"/>
        <v>0</v>
      </c>
      <c r="AB45" s="53">
        <f t="shared" si="45"/>
        <v>0</v>
      </c>
      <c r="AC45" s="51">
        <f t="shared" si="45"/>
        <v>0</v>
      </c>
      <c r="AD45" s="52">
        <f t="shared" si="45"/>
        <v>0</v>
      </c>
      <c r="AE45" s="53">
        <f t="shared" si="45"/>
        <v>0</v>
      </c>
      <c r="AF45" s="51">
        <f t="shared" si="43"/>
        <v>0</v>
      </c>
      <c r="AG45" s="52">
        <f t="shared" si="43"/>
        <v>0</v>
      </c>
      <c r="AH45" s="53">
        <f t="shared" si="43"/>
        <v>0</v>
      </c>
      <c r="AI45" s="51">
        <f t="shared" si="43"/>
        <v>105000</v>
      </c>
      <c r="AJ45" s="52">
        <f t="shared" si="43"/>
        <v>0</v>
      </c>
      <c r="AK45" s="53">
        <f t="shared" si="43"/>
        <v>0</v>
      </c>
      <c r="AL45" s="51">
        <f t="shared" si="43"/>
        <v>0</v>
      </c>
      <c r="AM45" s="52">
        <f t="shared" si="43"/>
        <v>0</v>
      </c>
      <c r="AN45" s="53">
        <f t="shared" si="43"/>
        <v>0</v>
      </c>
      <c r="AO45" s="51">
        <f t="shared" si="43"/>
        <v>0</v>
      </c>
      <c r="AP45" s="52">
        <f t="shared" si="43"/>
        <v>0</v>
      </c>
      <c r="AQ45" s="53">
        <f t="shared" si="43"/>
        <v>0</v>
      </c>
      <c r="AR45" s="51">
        <f t="shared" si="43"/>
        <v>0</v>
      </c>
      <c r="AS45" s="52">
        <f t="shared" si="43"/>
        <v>0</v>
      </c>
      <c r="AT45" s="53">
        <f t="shared" si="43"/>
        <v>0</v>
      </c>
      <c r="AU45" s="51">
        <f t="shared" si="43"/>
        <v>0</v>
      </c>
      <c r="AV45" s="52">
        <f t="shared" si="46"/>
        <v>0</v>
      </c>
      <c r="AW45" s="53">
        <f t="shared" si="46"/>
        <v>0</v>
      </c>
      <c r="AX45" s="51">
        <f t="shared" si="46"/>
        <v>0</v>
      </c>
      <c r="AY45" s="52">
        <f t="shared" si="46"/>
        <v>0</v>
      </c>
      <c r="AZ45" s="53">
        <f t="shared" si="46"/>
        <v>0</v>
      </c>
      <c r="BA45" s="51">
        <f t="shared" si="46"/>
        <v>0</v>
      </c>
      <c r="BB45" s="52">
        <f t="shared" si="46"/>
        <v>0</v>
      </c>
      <c r="BC45" s="53">
        <f t="shared" si="46"/>
        <v>0</v>
      </c>
      <c r="BD45" s="51">
        <f t="shared" si="46"/>
        <v>0</v>
      </c>
      <c r="BE45" s="52">
        <f t="shared" si="46"/>
        <v>0</v>
      </c>
      <c r="BF45" s="53">
        <f t="shared" si="46"/>
        <v>0</v>
      </c>
      <c r="BG45" s="51">
        <f t="shared" si="46"/>
        <v>0</v>
      </c>
      <c r="BH45" s="52">
        <f t="shared" si="46"/>
        <v>0</v>
      </c>
      <c r="BI45" s="53">
        <f t="shared" si="46"/>
        <v>0</v>
      </c>
      <c r="BJ45" s="51">
        <f t="shared" si="46"/>
        <v>0</v>
      </c>
      <c r="BK45" s="52">
        <f t="shared" si="46"/>
        <v>0</v>
      </c>
      <c r="BL45" s="53">
        <f t="shared" si="44"/>
        <v>0</v>
      </c>
      <c r="BM45" s="51">
        <f t="shared" si="44"/>
        <v>0</v>
      </c>
      <c r="BN45" s="52">
        <f t="shared" si="44"/>
        <v>0</v>
      </c>
      <c r="BO45" s="53">
        <f t="shared" si="44"/>
        <v>0</v>
      </c>
      <c r="BP45" s="51">
        <f t="shared" si="44"/>
        <v>0</v>
      </c>
      <c r="BQ45" s="52">
        <f t="shared" si="44"/>
        <v>0</v>
      </c>
      <c r="BR45" s="53">
        <f t="shared" si="44"/>
        <v>0</v>
      </c>
      <c r="BS45" s="51">
        <f t="shared" si="44"/>
        <v>0</v>
      </c>
      <c r="BT45" s="52">
        <f t="shared" si="44"/>
        <v>0</v>
      </c>
      <c r="BU45" s="53">
        <f t="shared" si="44"/>
        <v>0</v>
      </c>
      <c r="BV45" s="51">
        <f t="shared" si="44"/>
        <v>0</v>
      </c>
      <c r="BW45" s="52">
        <f t="shared" si="44"/>
        <v>0</v>
      </c>
      <c r="BX45" s="53">
        <f t="shared" si="44"/>
        <v>0</v>
      </c>
      <c r="BY45" s="51">
        <f t="shared" si="44"/>
        <v>0</v>
      </c>
      <c r="BZ45" s="52">
        <f t="shared" si="44"/>
        <v>0</v>
      </c>
      <c r="CA45" s="53">
        <f t="shared" si="47"/>
        <v>0</v>
      </c>
      <c r="CB45" s="51">
        <f t="shared" si="47"/>
        <v>0</v>
      </c>
      <c r="CC45" s="52">
        <f t="shared" si="47"/>
        <v>0</v>
      </c>
      <c r="CD45" s="53">
        <f t="shared" si="47"/>
        <v>0</v>
      </c>
      <c r="CE45" s="51">
        <f t="shared" si="47"/>
        <v>0</v>
      </c>
      <c r="CF45" s="52">
        <f t="shared" si="47"/>
        <v>0</v>
      </c>
      <c r="CG45" s="53">
        <f t="shared" si="47"/>
        <v>0</v>
      </c>
      <c r="CH45" s="51">
        <f t="shared" si="47"/>
        <v>0</v>
      </c>
      <c r="CI45" s="52">
        <f t="shared" si="47"/>
        <v>0</v>
      </c>
      <c r="CJ45" s="40"/>
      <c r="CK45" s="54">
        <f t="shared" si="13"/>
        <v>0</v>
      </c>
      <c r="CL45" s="54">
        <f t="shared" si="14"/>
        <v>0</v>
      </c>
      <c r="CM45" s="54">
        <f t="shared" si="15"/>
        <v>0</v>
      </c>
      <c r="CN45" s="54">
        <f t="shared" si="16"/>
        <v>0</v>
      </c>
      <c r="CO45" s="54">
        <f t="shared" si="17"/>
        <v>0</v>
      </c>
      <c r="CP45" s="54">
        <f t="shared" si="18"/>
        <v>0</v>
      </c>
      <c r="CQ45" s="54">
        <f t="shared" si="19"/>
        <v>105000</v>
      </c>
      <c r="CR45" s="54">
        <f t="shared" si="20"/>
        <v>0</v>
      </c>
      <c r="CS45" s="55">
        <f t="shared" si="49"/>
        <v>0</v>
      </c>
      <c r="CT45" s="55">
        <f t="shared" si="49"/>
        <v>0</v>
      </c>
      <c r="CU45" s="55">
        <f t="shared" si="49"/>
        <v>0</v>
      </c>
      <c r="CV45" s="55">
        <f t="shared" si="49"/>
        <v>0</v>
      </c>
      <c r="CW45" s="55">
        <f t="shared" si="49"/>
        <v>0</v>
      </c>
      <c r="CX45" s="55">
        <f t="shared" si="49"/>
        <v>0</v>
      </c>
      <c r="CY45" s="55">
        <f t="shared" si="49"/>
        <v>0</v>
      </c>
      <c r="CZ45" s="55">
        <f t="shared" si="49"/>
        <v>0</v>
      </c>
      <c r="DA45" s="55">
        <f t="shared" si="49"/>
        <v>0</v>
      </c>
      <c r="DB45" s="55">
        <f t="shared" si="49"/>
        <v>0</v>
      </c>
      <c r="DC45" s="55">
        <f t="shared" si="49"/>
        <v>0</v>
      </c>
      <c r="DD45" s="55">
        <f t="shared" si="49"/>
        <v>0</v>
      </c>
      <c r="DE45" s="55">
        <f t="shared" si="49"/>
        <v>0</v>
      </c>
      <c r="DF45" s="55">
        <f t="shared" si="49"/>
        <v>0</v>
      </c>
      <c r="DG45" s="55">
        <f t="shared" si="49"/>
        <v>0</v>
      </c>
      <c r="DH45" s="55">
        <f t="shared" si="49"/>
        <v>0</v>
      </c>
      <c r="DI45" s="40"/>
      <c r="DJ45" s="54">
        <f t="shared" si="32"/>
        <v>0</v>
      </c>
      <c r="DK45" s="56">
        <f t="shared" si="32"/>
        <v>105000</v>
      </c>
      <c r="DL45" s="57">
        <f t="shared" si="32"/>
        <v>0</v>
      </c>
      <c r="DM45" s="57">
        <f t="shared" si="32"/>
        <v>0</v>
      </c>
      <c r="DN45" s="57">
        <f t="shared" si="32"/>
        <v>0</v>
      </c>
      <c r="DO45" s="58">
        <f t="shared" si="32"/>
        <v>0</v>
      </c>
    </row>
    <row r="46" spans="1:119" ht="14.45">
      <c r="A46" s="23">
        <f t="shared" si="23"/>
        <v>32</v>
      </c>
      <c r="B46" s="23" t="s">
        <v>165</v>
      </c>
      <c r="E46" s="44" t="s">
        <v>171</v>
      </c>
      <c r="F46" s="45" t="str">
        <f t="shared" si="24"/>
        <v>4700</v>
      </c>
      <c r="G46" s="23" t="s">
        <v>188</v>
      </c>
      <c r="H46" s="45" t="str">
        <f t="shared" si="7"/>
        <v>M9000</v>
      </c>
      <c r="I46" s="23" t="s">
        <v>172</v>
      </c>
      <c r="J46" s="23" t="s">
        <v>16</v>
      </c>
      <c r="K46" s="46" t="s">
        <v>214</v>
      </c>
      <c r="L46" s="47">
        <v>46204</v>
      </c>
      <c r="M46" s="48">
        <v>150000</v>
      </c>
      <c r="N46" s="49">
        <v>120</v>
      </c>
      <c r="O46" s="50">
        <f t="shared" ref="O46:O47" si="51">IF(L46="","",EDATE(L46,N46-1))</f>
        <v>49827</v>
      </c>
      <c r="P46" s="51">
        <f t="shared" si="45"/>
        <v>0</v>
      </c>
      <c r="Q46" s="51">
        <f t="shared" si="45"/>
        <v>0</v>
      </c>
      <c r="R46" s="52">
        <f t="shared" si="45"/>
        <v>0</v>
      </c>
      <c r="S46" s="53">
        <f t="shared" si="45"/>
        <v>0</v>
      </c>
      <c r="T46" s="51">
        <f t="shared" si="45"/>
        <v>0</v>
      </c>
      <c r="U46" s="52">
        <f t="shared" si="45"/>
        <v>0</v>
      </c>
      <c r="V46" s="53">
        <f t="shared" si="45"/>
        <v>0</v>
      </c>
      <c r="W46" s="51">
        <f t="shared" si="45"/>
        <v>0</v>
      </c>
      <c r="X46" s="52">
        <f t="shared" si="45"/>
        <v>0</v>
      </c>
      <c r="Y46" s="53">
        <f t="shared" si="45"/>
        <v>0</v>
      </c>
      <c r="Z46" s="51">
        <f t="shared" si="45"/>
        <v>0</v>
      </c>
      <c r="AA46" s="52">
        <f t="shared" si="45"/>
        <v>0</v>
      </c>
      <c r="AB46" s="53">
        <f t="shared" si="45"/>
        <v>0</v>
      </c>
      <c r="AC46" s="51">
        <f t="shared" si="45"/>
        <v>0</v>
      </c>
      <c r="AD46" s="52">
        <f t="shared" si="45"/>
        <v>0</v>
      </c>
      <c r="AE46" s="53">
        <f t="shared" si="45"/>
        <v>0</v>
      </c>
      <c r="AF46" s="51">
        <f t="shared" si="43"/>
        <v>0</v>
      </c>
      <c r="AG46" s="52">
        <f t="shared" si="43"/>
        <v>0</v>
      </c>
      <c r="AH46" s="53">
        <f t="shared" si="43"/>
        <v>150000</v>
      </c>
      <c r="AI46" s="51">
        <f t="shared" si="43"/>
        <v>0</v>
      </c>
      <c r="AJ46" s="52">
        <f t="shared" si="43"/>
        <v>0</v>
      </c>
      <c r="AK46" s="53">
        <f t="shared" si="43"/>
        <v>0</v>
      </c>
      <c r="AL46" s="51">
        <f t="shared" si="43"/>
        <v>0</v>
      </c>
      <c r="AM46" s="52">
        <f t="shared" si="43"/>
        <v>0</v>
      </c>
      <c r="AN46" s="53">
        <f t="shared" si="43"/>
        <v>0</v>
      </c>
      <c r="AO46" s="51">
        <f t="shared" si="43"/>
        <v>0</v>
      </c>
      <c r="AP46" s="52">
        <f t="shared" si="43"/>
        <v>0</v>
      </c>
      <c r="AQ46" s="53">
        <f t="shared" si="43"/>
        <v>0</v>
      </c>
      <c r="AR46" s="51">
        <f t="shared" si="43"/>
        <v>0</v>
      </c>
      <c r="AS46" s="52">
        <f t="shared" si="43"/>
        <v>0</v>
      </c>
      <c r="AT46" s="53">
        <f t="shared" si="43"/>
        <v>0</v>
      </c>
      <c r="AU46" s="51">
        <f t="shared" si="43"/>
        <v>0</v>
      </c>
      <c r="AV46" s="52">
        <f t="shared" si="46"/>
        <v>0</v>
      </c>
      <c r="AW46" s="53">
        <f t="shared" si="46"/>
        <v>0</v>
      </c>
      <c r="AX46" s="51">
        <f t="shared" si="46"/>
        <v>0</v>
      </c>
      <c r="AY46" s="52">
        <f t="shared" si="46"/>
        <v>0</v>
      </c>
      <c r="AZ46" s="53">
        <f t="shared" si="46"/>
        <v>0</v>
      </c>
      <c r="BA46" s="51">
        <f t="shared" si="46"/>
        <v>0</v>
      </c>
      <c r="BB46" s="52">
        <f t="shared" si="46"/>
        <v>0</v>
      </c>
      <c r="BC46" s="53">
        <f t="shared" si="46"/>
        <v>0</v>
      </c>
      <c r="BD46" s="51">
        <f t="shared" si="46"/>
        <v>0</v>
      </c>
      <c r="BE46" s="52">
        <f t="shared" si="46"/>
        <v>0</v>
      </c>
      <c r="BF46" s="53">
        <f t="shared" si="46"/>
        <v>0</v>
      </c>
      <c r="BG46" s="51">
        <f t="shared" si="46"/>
        <v>0</v>
      </c>
      <c r="BH46" s="52">
        <f t="shared" si="46"/>
        <v>0</v>
      </c>
      <c r="BI46" s="53">
        <f t="shared" si="46"/>
        <v>0</v>
      </c>
      <c r="BJ46" s="51">
        <f t="shared" si="46"/>
        <v>0</v>
      </c>
      <c r="BK46" s="52">
        <f t="shared" si="46"/>
        <v>0</v>
      </c>
      <c r="BL46" s="53">
        <f t="shared" si="44"/>
        <v>0</v>
      </c>
      <c r="BM46" s="51">
        <f t="shared" si="44"/>
        <v>0</v>
      </c>
      <c r="BN46" s="52">
        <f t="shared" si="44"/>
        <v>0</v>
      </c>
      <c r="BO46" s="53">
        <f t="shared" si="44"/>
        <v>0</v>
      </c>
      <c r="BP46" s="51">
        <f t="shared" si="44"/>
        <v>0</v>
      </c>
      <c r="BQ46" s="52">
        <f t="shared" si="44"/>
        <v>0</v>
      </c>
      <c r="BR46" s="53">
        <f t="shared" si="44"/>
        <v>0</v>
      </c>
      <c r="BS46" s="51">
        <f t="shared" si="44"/>
        <v>0</v>
      </c>
      <c r="BT46" s="52">
        <f t="shared" si="44"/>
        <v>0</v>
      </c>
      <c r="BU46" s="53">
        <f t="shared" si="44"/>
        <v>0</v>
      </c>
      <c r="BV46" s="51">
        <f t="shared" si="44"/>
        <v>0</v>
      </c>
      <c r="BW46" s="52">
        <f t="shared" si="44"/>
        <v>0</v>
      </c>
      <c r="BX46" s="53">
        <f t="shared" si="44"/>
        <v>0</v>
      </c>
      <c r="BY46" s="51">
        <f t="shared" si="44"/>
        <v>0</v>
      </c>
      <c r="BZ46" s="52">
        <f t="shared" si="44"/>
        <v>0</v>
      </c>
      <c r="CA46" s="53">
        <f t="shared" si="47"/>
        <v>0</v>
      </c>
      <c r="CB46" s="51">
        <f t="shared" si="47"/>
        <v>0</v>
      </c>
      <c r="CC46" s="52">
        <f t="shared" si="47"/>
        <v>0</v>
      </c>
      <c r="CD46" s="53">
        <f t="shared" si="47"/>
        <v>0</v>
      </c>
      <c r="CE46" s="51">
        <f t="shared" si="47"/>
        <v>0</v>
      </c>
      <c r="CF46" s="52">
        <f t="shared" si="47"/>
        <v>0</v>
      </c>
      <c r="CG46" s="53">
        <f t="shared" si="47"/>
        <v>0</v>
      </c>
      <c r="CH46" s="51">
        <f t="shared" si="47"/>
        <v>0</v>
      </c>
      <c r="CI46" s="52">
        <f t="shared" si="47"/>
        <v>0</v>
      </c>
      <c r="CJ46" s="40"/>
      <c r="CK46" s="54">
        <f t="shared" si="13"/>
        <v>0</v>
      </c>
      <c r="CL46" s="54">
        <f t="shared" si="14"/>
        <v>0</v>
      </c>
      <c r="CM46" s="54">
        <f t="shared" si="15"/>
        <v>0</v>
      </c>
      <c r="CN46" s="54">
        <f t="shared" si="16"/>
        <v>0</v>
      </c>
      <c r="CO46" s="54">
        <f t="shared" si="17"/>
        <v>0</v>
      </c>
      <c r="CP46" s="54">
        <f t="shared" si="18"/>
        <v>0</v>
      </c>
      <c r="CQ46" s="54">
        <f t="shared" si="19"/>
        <v>150000</v>
      </c>
      <c r="CR46" s="54">
        <f t="shared" si="20"/>
        <v>0</v>
      </c>
      <c r="CS46" s="55">
        <f t="shared" si="49"/>
        <v>0</v>
      </c>
      <c r="CT46" s="55">
        <f t="shared" si="49"/>
        <v>0</v>
      </c>
      <c r="CU46" s="55">
        <f t="shared" si="49"/>
        <v>0</v>
      </c>
      <c r="CV46" s="55">
        <f t="shared" si="49"/>
        <v>0</v>
      </c>
      <c r="CW46" s="55">
        <f t="shared" si="49"/>
        <v>0</v>
      </c>
      <c r="CX46" s="55">
        <f t="shared" si="49"/>
        <v>0</v>
      </c>
      <c r="CY46" s="55">
        <f t="shared" si="49"/>
        <v>0</v>
      </c>
      <c r="CZ46" s="55">
        <f t="shared" si="49"/>
        <v>0</v>
      </c>
      <c r="DA46" s="55">
        <f t="shared" si="49"/>
        <v>0</v>
      </c>
      <c r="DB46" s="55">
        <f t="shared" si="49"/>
        <v>0</v>
      </c>
      <c r="DC46" s="55">
        <f t="shared" si="49"/>
        <v>0</v>
      </c>
      <c r="DD46" s="55">
        <f t="shared" si="49"/>
        <v>0</v>
      </c>
      <c r="DE46" s="55">
        <f t="shared" si="49"/>
        <v>0</v>
      </c>
      <c r="DF46" s="55">
        <f t="shared" si="49"/>
        <v>0</v>
      </c>
      <c r="DG46" s="55">
        <f t="shared" si="49"/>
        <v>0</v>
      </c>
      <c r="DH46" s="55">
        <f t="shared" si="49"/>
        <v>0</v>
      </c>
      <c r="DI46" s="40"/>
      <c r="DJ46" s="54">
        <f t="shared" ref="DJ46:DO52" si="52">SUMIFS($CK46:$DH46,$CK$1:$DH$1,DJ$6)</f>
        <v>0</v>
      </c>
      <c r="DK46" s="56">
        <f t="shared" si="52"/>
        <v>150000</v>
      </c>
      <c r="DL46" s="57">
        <f t="shared" si="52"/>
        <v>0</v>
      </c>
      <c r="DM46" s="57">
        <f t="shared" si="52"/>
        <v>0</v>
      </c>
      <c r="DN46" s="57">
        <f t="shared" si="52"/>
        <v>0</v>
      </c>
      <c r="DO46" s="58">
        <f t="shared" si="52"/>
        <v>0</v>
      </c>
    </row>
    <row r="47" spans="1:119" ht="14.45">
      <c r="A47" s="23">
        <f t="shared" si="23"/>
        <v>33</v>
      </c>
      <c r="B47" s="23" t="s">
        <v>165</v>
      </c>
      <c r="E47" s="44" t="s">
        <v>171</v>
      </c>
      <c r="F47" s="45" t="str">
        <f t="shared" si="24"/>
        <v>4700</v>
      </c>
      <c r="G47" s="23" t="s">
        <v>188</v>
      </c>
      <c r="H47" s="45" t="str">
        <f t="shared" si="7"/>
        <v>M9000</v>
      </c>
      <c r="I47" s="23" t="s">
        <v>172</v>
      </c>
      <c r="J47" s="23" t="s">
        <v>16</v>
      </c>
      <c r="K47" s="46" t="s">
        <v>214</v>
      </c>
      <c r="L47" s="47">
        <v>46296</v>
      </c>
      <c r="M47" s="48">
        <v>150000</v>
      </c>
      <c r="N47" s="49">
        <v>120</v>
      </c>
      <c r="O47" s="50">
        <f t="shared" si="51"/>
        <v>49919</v>
      </c>
      <c r="P47" s="51">
        <f t="shared" si="45"/>
        <v>0</v>
      </c>
      <c r="Q47" s="51">
        <f t="shared" si="45"/>
        <v>0</v>
      </c>
      <c r="R47" s="52">
        <f t="shared" si="45"/>
        <v>0</v>
      </c>
      <c r="S47" s="53">
        <f t="shared" si="45"/>
        <v>0</v>
      </c>
      <c r="T47" s="51">
        <f t="shared" si="45"/>
        <v>0</v>
      </c>
      <c r="U47" s="52">
        <f t="shared" si="45"/>
        <v>0</v>
      </c>
      <c r="V47" s="53">
        <f t="shared" si="45"/>
        <v>0</v>
      </c>
      <c r="W47" s="51">
        <f t="shared" si="45"/>
        <v>0</v>
      </c>
      <c r="X47" s="52">
        <f t="shared" si="45"/>
        <v>0</v>
      </c>
      <c r="Y47" s="53">
        <f t="shared" si="45"/>
        <v>0</v>
      </c>
      <c r="Z47" s="51">
        <f t="shared" si="45"/>
        <v>0</v>
      </c>
      <c r="AA47" s="52">
        <f t="shared" si="45"/>
        <v>0</v>
      </c>
      <c r="AB47" s="53">
        <f t="shared" si="45"/>
        <v>0</v>
      </c>
      <c r="AC47" s="51">
        <f t="shared" si="45"/>
        <v>0</v>
      </c>
      <c r="AD47" s="52">
        <f t="shared" si="45"/>
        <v>0</v>
      </c>
      <c r="AE47" s="53">
        <f t="shared" si="45"/>
        <v>0</v>
      </c>
      <c r="AF47" s="51">
        <f t="shared" si="43"/>
        <v>0</v>
      </c>
      <c r="AG47" s="52">
        <f t="shared" si="43"/>
        <v>0</v>
      </c>
      <c r="AH47" s="53">
        <f t="shared" si="43"/>
        <v>0</v>
      </c>
      <c r="AI47" s="51">
        <f t="shared" si="43"/>
        <v>0</v>
      </c>
      <c r="AJ47" s="52">
        <f t="shared" si="43"/>
        <v>0</v>
      </c>
      <c r="AK47" s="53">
        <f t="shared" si="43"/>
        <v>150000</v>
      </c>
      <c r="AL47" s="51">
        <f t="shared" si="43"/>
        <v>0</v>
      </c>
      <c r="AM47" s="52">
        <f t="shared" si="43"/>
        <v>0</v>
      </c>
      <c r="AN47" s="53">
        <f t="shared" si="43"/>
        <v>0</v>
      </c>
      <c r="AO47" s="51">
        <f t="shared" si="43"/>
        <v>0</v>
      </c>
      <c r="AP47" s="52">
        <f t="shared" si="43"/>
        <v>0</v>
      </c>
      <c r="AQ47" s="53">
        <f t="shared" si="43"/>
        <v>0</v>
      </c>
      <c r="AR47" s="51">
        <f t="shared" si="43"/>
        <v>0</v>
      </c>
      <c r="AS47" s="52">
        <f t="shared" si="43"/>
        <v>0</v>
      </c>
      <c r="AT47" s="53">
        <f t="shared" si="43"/>
        <v>0</v>
      </c>
      <c r="AU47" s="51">
        <f t="shared" si="43"/>
        <v>0</v>
      </c>
      <c r="AV47" s="52">
        <f t="shared" si="46"/>
        <v>0</v>
      </c>
      <c r="AW47" s="53">
        <f t="shared" si="46"/>
        <v>0</v>
      </c>
      <c r="AX47" s="51">
        <f t="shared" si="46"/>
        <v>0</v>
      </c>
      <c r="AY47" s="52">
        <f t="shared" si="46"/>
        <v>0</v>
      </c>
      <c r="AZ47" s="53">
        <f t="shared" si="46"/>
        <v>0</v>
      </c>
      <c r="BA47" s="51">
        <f t="shared" si="46"/>
        <v>0</v>
      </c>
      <c r="BB47" s="52">
        <f t="shared" si="46"/>
        <v>0</v>
      </c>
      <c r="BC47" s="53">
        <f t="shared" si="46"/>
        <v>0</v>
      </c>
      <c r="BD47" s="51">
        <f t="shared" si="46"/>
        <v>0</v>
      </c>
      <c r="BE47" s="52">
        <f t="shared" si="46"/>
        <v>0</v>
      </c>
      <c r="BF47" s="53">
        <f t="shared" si="46"/>
        <v>0</v>
      </c>
      <c r="BG47" s="51">
        <f t="shared" si="46"/>
        <v>0</v>
      </c>
      <c r="BH47" s="52">
        <f t="shared" si="46"/>
        <v>0</v>
      </c>
      <c r="BI47" s="53">
        <f t="shared" si="46"/>
        <v>0</v>
      </c>
      <c r="BJ47" s="51">
        <f t="shared" si="46"/>
        <v>0</v>
      </c>
      <c r="BK47" s="52">
        <f t="shared" si="46"/>
        <v>0</v>
      </c>
      <c r="BL47" s="53">
        <f t="shared" si="44"/>
        <v>0</v>
      </c>
      <c r="BM47" s="51">
        <f t="shared" si="44"/>
        <v>0</v>
      </c>
      <c r="BN47" s="52">
        <f t="shared" si="44"/>
        <v>0</v>
      </c>
      <c r="BO47" s="53">
        <f t="shared" si="44"/>
        <v>0</v>
      </c>
      <c r="BP47" s="51">
        <f t="shared" si="44"/>
        <v>0</v>
      </c>
      <c r="BQ47" s="52">
        <f t="shared" si="44"/>
        <v>0</v>
      </c>
      <c r="BR47" s="53">
        <f t="shared" si="44"/>
        <v>0</v>
      </c>
      <c r="BS47" s="51">
        <f t="shared" si="44"/>
        <v>0</v>
      </c>
      <c r="BT47" s="52">
        <f t="shared" si="44"/>
        <v>0</v>
      </c>
      <c r="BU47" s="53">
        <f t="shared" si="44"/>
        <v>0</v>
      </c>
      <c r="BV47" s="51">
        <f t="shared" si="44"/>
        <v>0</v>
      </c>
      <c r="BW47" s="52">
        <f t="shared" si="44"/>
        <v>0</v>
      </c>
      <c r="BX47" s="53">
        <f t="shared" si="44"/>
        <v>0</v>
      </c>
      <c r="BY47" s="51">
        <f t="shared" si="44"/>
        <v>0</v>
      </c>
      <c r="BZ47" s="52">
        <f t="shared" si="44"/>
        <v>0</v>
      </c>
      <c r="CA47" s="53">
        <f t="shared" si="47"/>
        <v>0</v>
      </c>
      <c r="CB47" s="51">
        <f t="shared" si="47"/>
        <v>0</v>
      </c>
      <c r="CC47" s="52">
        <f t="shared" si="47"/>
        <v>0</v>
      </c>
      <c r="CD47" s="53">
        <f t="shared" si="47"/>
        <v>0</v>
      </c>
      <c r="CE47" s="51">
        <f t="shared" si="47"/>
        <v>0</v>
      </c>
      <c r="CF47" s="52">
        <f t="shared" si="47"/>
        <v>0</v>
      </c>
      <c r="CG47" s="53">
        <f t="shared" si="47"/>
        <v>0</v>
      </c>
      <c r="CH47" s="51">
        <f t="shared" si="47"/>
        <v>0</v>
      </c>
      <c r="CI47" s="52">
        <f t="shared" si="47"/>
        <v>0</v>
      </c>
      <c r="CJ47" s="40"/>
      <c r="CK47" s="54">
        <f t="shared" si="13"/>
        <v>0</v>
      </c>
      <c r="CL47" s="54">
        <f t="shared" si="14"/>
        <v>0</v>
      </c>
      <c r="CM47" s="54">
        <f t="shared" si="15"/>
        <v>0</v>
      </c>
      <c r="CN47" s="54">
        <f t="shared" si="16"/>
        <v>0</v>
      </c>
      <c r="CO47" s="54">
        <f t="shared" si="17"/>
        <v>0</v>
      </c>
      <c r="CP47" s="54">
        <f t="shared" si="18"/>
        <v>0</v>
      </c>
      <c r="CQ47" s="54">
        <f t="shared" si="19"/>
        <v>0</v>
      </c>
      <c r="CR47" s="54">
        <f t="shared" si="20"/>
        <v>150000</v>
      </c>
      <c r="CS47" s="55">
        <f t="shared" si="49"/>
        <v>0</v>
      </c>
      <c r="CT47" s="55">
        <f t="shared" si="49"/>
        <v>0</v>
      </c>
      <c r="CU47" s="55">
        <f t="shared" si="49"/>
        <v>0</v>
      </c>
      <c r="CV47" s="55">
        <f t="shared" si="49"/>
        <v>0</v>
      </c>
      <c r="CW47" s="55">
        <f t="shared" si="49"/>
        <v>0</v>
      </c>
      <c r="CX47" s="55">
        <f t="shared" si="49"/>
        <v>0</v>
      </c>
      <c r="CY47" s="55">
        <f t="shared" si="49"/>
        <v>0</v>
      </c>
      <c r="CZ47" s="55">
        <f t="shared" si="49"/>
        <v>0</v>
      </c>
      <c r="DA47" s="55">
        <f t="shared" si="49"/>
        <v>0</v>
      </c>
      <c r="DB47" s="55">
        <f t="shared" si="49"/>
        <v>0</v>
      </c>
      <c r="DC47" s="55">
        <f t="shared" si="49"/>
        <v>0</v>
      </c>
      <c r="DD47" s="55">
        <f t="shared" si="49"/>
        <v>0</v>
      </c>
      <c r="DE47" s="55">
        <f t="shared" si="49"/>
        <v>0</v>
      </c>
      <c r="DF47" s="55">
        <f t="shared" si="49"/>
        <v>0</v>
      </c>
      <c r="DG47" s="55">
        <f t="shared" si="49"/>
        <v>0</v>
      </c>
      <c r="DH47" s="55">
        <f t="shared" si="49"/>
        <v>0</v>
      </c>
      <c r="DI47" s="40"/>
      <c r="DJ47" s="54">
        <f t="shared" si="52"/>
        <v>0</v>
      </c>
      <c r="DK47" s="56">
        <f t="shared" si="52"/>
        <v>150000</v>
      </c>
      <c r="DL47" s="57">
        <f t="shared" si="52"/>
        <v>0</v>
      </c>
      <c r="DM47" s="57">
        <f t="shared" si="52"/>
        <v>0</v>
      </c>
      <c r="DN47" s="57">
        <f t="shared" si="52"/>
        <v>0</v>
      </c>
      <c r="DO47" s="58">
        <f t="shared" si="52"/>
        <v>0</v>
      </c>
    </row>
    <row r="48" spans="1:119" ht="14.45">
      <c r="A48" s="23">
        <f t="shared" si="23"/>
        <v>34</v>
      </c>
      <c r="B48" s="23" t="s">
        <v>165</v>
      </c>
      <c r="E48" s="44" t="s">
        <v>171</v>
      </c>
      <c r="F48" s="45" t="str">
        <f t="shared" si="24"/>
        <v>4700</v>
      </c>
      <c r="G48" s="23" t="s">
        <v>188</v>
      </c>
      <c r="H48" s="45" t="str">
        <f t="shared" si="7"/>
        <v>M9000</v>
      </c>
      <c r="I48" s="23" t="s">
        <v>172</v>
      </c>
      <c r="J48" s="23" t="s">
        <v>16</v>
      </c>
      <c r="K48" s="46" t="s">
        <v>214</v>
      </c>
      <c r="L48" s="47">
        <v>46357</v>
      </c>
      <c r="M48" s="48">
        <v>150000</v>
      </c>
      <c r="N48" s="49">
        <v>120</v>
      </c>
      <c r="O48" s="50">
        <f t="shared" si="25"/>
        <v>49980</v>
      </c>
      <c r="P48" s="51">
        <f t="shared" si="45"/>
        <v>0</v>
      </c>
      <c r="Q48" s="51">
        <f t="shared" si="45"/>
        <v>0</v>
      </c>
      <c r="R48" s="52">
        <f t="shared" si="45"/>
        <v>0</v>
      </c>
      <c r="S48" s="53">
        <f t="shared" si="45"/>
        <v>0</v>
      </c>
      <c r="T48" s="51">
        <f t="shared" si="45"/>
        <v>0</v>
      </c>
      <c r="U48" s="52">
        <f t="shared" si="45"/>
        <v>0</v>
      </c>
      <c r="V48" s="53">
        <f t="shared" si="45"/>
        <v>0</v>
      </c>
      <c r="W48" s="51">
        <f t="shared" si="45"/>
        <v>0</v>
      </c>
      <c r="X48" s="52">
        <f t="shared" si="45"/>
        <v>0</v>
      </c>
      <c r="Y48" s="53">
        <f t="shared" si="45"/>
        <v>0</v>
      </c>
      <c r="Z48" s="51">
        <f t="shared" si="45"/>
        <v>0</v>
      </c>
      <c r="AA48" s="52">
        <f t="shared" si="45"/>
        <v>0</v>
      </c>
      <c r="AB48" s="53">
        <f t="shared" si="45"/>
        <v>0</v>
      </c>
      <c r="AC48" s="51">
        <f t="shared" si="45"/>
        <v>0</v>
      </c>
      <c r="AD48" s="52">
        <f t="shared" si="45"/>
        <v>0</v>
      </c>
      <c r="AE48" s="53">
        <f t="shared" si="45"/>
        <v>0</v>
      </c>
      <c r="AF48" s="51">
        <f t="shared" si="43"/>
        <v>0</v>
      </c>
      <c r="AG48" s="52">
        <f t="shared" si="43"/>
        <v>0</v>
      </c>
      <c r="AH48" s="53">
        <f t="shared" si="43"/>
        <v>0</v>
      </c>
      <c r="AI48" s="51">
        <f t="shared" si="43"/>
        <v>0</v>
      </c>
      <c r="AJ48" s="52">
        <f t="shared" si="43"/>
        <v>0</v>
      </c>
      <c r="AK48" s="53">
        <f t="shared" si="43"/>
        <v>0</v>
      </c>
      <c r="AL48" s="51">
        <f t="shared" si="43"/>
        <v>0</v>
      </c>
      <c r="AM48" s="52">
        <f t="shared" si="43"/>
        <v>150000</v>
      </c>
      <c r="AN48" s="53">
        <f t="shared" si="43"/>
        <v>0</v>
      </c>
      <c r="AO48" s="51">
        <f t="shared" si="43"/>
        <v>0</v>
      </c>
      <c r="AP48" s="52">
        <f t="shared" si="43"/>
        <v>0</v>
      </c>
      <c r="AQ48" s="53">
        <f t="shared" si="43"/>
        <v>0</v>
      </c>
      <c r="AR48" s="51">
        <f t="shared" si="43"/>
        <v>0</v>
      </c>
      <c r="AS48" s="52">
        <f t="shared" si="43"/>
        <v>0</v>
      </c>
      <c r="AT48" s="53">
        <f t="shared" si="43"/>
        <v>0</v>
      </c>
      <c r="AU48" s="51">
        <f t="shared" si="43"/>
        <v>0</v>
      </c>
      <c r="AV48" s="52">
        <f t="shared" si="46"/>
        <v>0</v>
      </c>
      <c r="AW48" s="53">
        <f t="shared" si="46"/>
        <v>0</v>
      </c>
      <c r="AX48" s="51">
        <f t="shared" si="46"/>
        <v>0</v>
      </c>
      <c r="AY48" s="52">
        <f t="shared" si="46"/>
        <v>0</v>
      </c>
      <c r="AZ48" s="53">
        <f t="shared" si="46"/>
        <v>0</v>
      </c>
      <c r="BA48" s="51">
        <f t="shared" si="46"/>
        <v>0</v>
      </c>
      <c r="BB48" s="52">
        <f t="shared" si="46"/>
        <v>0</v>
      </c>
      <c r="BC48" s="53">
        <f t="shared" si="46"/>
        <v>0</v>
      </c>
      <c r="BD48" s="51">
        <f t="shared" si="46"/>
        <v>0</v>
      </c>
      <c r="BE48" s="52">
        <f t="shared" si="46"/>
        <v>0</v>
      </c>
      <c r="BF48" s="53">
        <f t="shared" si="46"/>
        <v>0</v>
      </c>
      <c r="BG48" s="51">
        <f t="shared" si="46"/>
        <v>0</v>
      </c>
      <c r="BH48" s="52">
        <f t="shared" si="46"/>
        <v>0</v>
      </c>
      <c r="BI48" s="53">
        <f t="shared" si="46"/>
        <v>0</v>
      </c>
      <c r="BJ48" s="51">
        <f t="shared" si="46"/>
        <v>0</v>
      </c>
      <c r="BK48" s="52">
        <f t="shared" si="46"/>
        <v>0</v>
      </c>
      <c r="BL48" s="53">
        <f t="shared" si="44"/>
        <v>0</v>
      </c>
      <c r="BM48" s="51">
        <f t="shared" si="44"/>
        <v>0</v>
      </c>
      <c r="BN48" s="52">
        <f t="shared" si="44"/>
        <v>0</v>
      </c>
      <c r="BO48" s="53">
        <f t="shared" si="44"/>
        <v>0</v>
      </c>
      <c r="BP48" s="51">
        <f t="shared" si="44"/>
        <v>0</v>
      </c>
      <c r="BQ48" s="52">
        <f t="shared" si="44"/>
        <v>0</v>
      </c>
      <c r="BR48" s="53">
        <f t="shared" si="44"/>
        <v>0</v>
      </c>
      <c r="BS48" s="51">
        <f t="shared" si="44"/>
        <v>0</v>
      </c>
      <c r="BT48" s="52">
        <f t="shared" si="44"/>
        <v>0</v>
      </c>
      <c r="BU48" s="53">
        <f t="shared" si="44"/>
        <v>0</v>
      </c>
      <c r="BV48" s="51">
        <f t="shared" si="44"/>
        <v>0</v>
      </c>
      <c r="BW48" s="52">
        <f t="shared" si="44"/>
        <v>0</v>
      </c>
      <c r="BX48" s="53">
        <f t="shared" si="44"/>
        <v>0</v>
      </c>
      <c r="BY48" s="51">
        <f t="shared" si="44"/>
        <v>0</v>
      </c>
      <c r="BZ48" s="52">
        <f t="shared" si="44"/>
        <v>0</v>
      </c>
      <c r="CA48" s="53">
        <f t="shared" si="47"/>
        <v>0</v>
      </c>
      <c r="CB48" s="51">
        <f t="shared" si="47"/>
        <v>0</v>
      </c>
      <c r="CC48" s="52">
        <f t="shared" si="47"/>
        <v>0</v>
      </c>
      <c r="CD48" s="53">
        <f t="shared" si="47"/>
        <v>0</v>
      </c>
      <c r="CE48" s="51">
        <f t="shared" si="47"/>
        <v>0</v>
      </c>
      <c r="CF48" s="52">
        <f t="shared" si="47"/>
        <v>0</v>
      </c>
      <c r="CG48" s="53">
        <f t="shared" si="47"/>
        <v>0</v>
      </c>
      <c r="CH48" s="51">
        <f t="shared" si="47"/>
        <v>0</v>
      </c>
      <c r="CI48" s="52">
        <f t="shared" si="47"/>
        <v>0</v>
      </c>
      <c r="CJ48" s="40"/>
      <c r="CK48" s="54">
        <f t="shared" si="13"/>
        <v>0</v>
      </c>
      <c r="CL48" s="54">
        <f t="shared" si="14"/>
        <v>0</v>
      </c>
      <c r="CM48" s="54">
        <f t="shared" si="15"/>
        <v>0</v>
      </c>
      <c r="CN48" s="54">
        <f t="shared" si="16"/>
        <v>0</v>
      </c>
      <c r="CO48" s="54">
        <f t="shared" si="17"/>
        <v>0</v>
      </c>
      <c r="CP48" s="54">
        <f t="shared" si="18"/>
        <v>0</v>
      </c>
      <c r="CQ48" s="54">
        <f t="shared" si="19"/>
        <v>0</v>
      </c>
      <c r="CR48" s="54">
        <f t="shared" si="20"/>
        <v>150000</v>
      </c>
      <c r="CS48" s="55">
        <f t="shared" si="49"/>
        <v>0</v>
      </c>
      <c r="CT48" s="55">
        <f t="shared" si="49"/>
        <v>0</v>
      </c>
      <c r="CU48" s="55">
        <f t="shared" si="49"/>
        <v>0</v>
      </c>
      <c r="CV48" s="55">
        <f t="shared" si="49"/>
        <v>0</v>
      </c>
      <c r="CW48" s="55">
        <f t="shared" si="49"/>
        <v>0</v>
      </c>
      <c r="CX48" s="55">
        <f t="shared" si="49"/>
        <v>0</v>
      </c>
      <c r="CY48" s="55">
        <f t="shared" si="49"/>
        <v>0</v>
      </c>
      <c r="CZ48" s="55">
        <f t="shared" si="49"/>
        <v>0</v>
      </c>
      <c r="DA48" s="55">
        <f t="shared" si="49"/>
        <v>0</v>
      </c>
      <c r="DB48" s="55">
        <f t="shared" si="49"/>
        <v>0</v>
      </c>
      <c r="DC48" s="55">
        <f t="shared" si="49"/>
        <v>0</v>
      </c>
      <c r="DD48" s="55">
        <f t="shared" si="49"/>
        <v>0</v>
      </c>
      <c r="DE48" s="55">
        <f t="shared" si="49"/>
        <v>0</v>
      </c>
      <c r="DF48" s="55">
        <f t="shared" si="49"/>
        <v>0</v>
      </c>
      <c r="DG48" s="55">
        <f t="shared" si="49"/>
        <v>0</v>
      </c>
      <c r="DH48" s="55">
        <f t="shared" si="49"/>
        <v>0</v>
      </c>
      <c r="DI48" s="40"/>
      <c r="DJ48" s="54">
        <f t="shared" si="52"/>
        <v>0</v>
      </c>
      <c r="DK48" s="56">
        <f t="shared" si="52"/>
        <v>150000</v>
      </c>
      <c r="DL48" s="57">
        <f t="shared" si="52"/>
        <v>0</v>
      </c>
      <c r="DM48" s="57">
        <f t="shared" si="52"/>
        <v>0</v>
      </c>
      <c r="DN48" s="57">
        <f t="shared" si="52"/>
        <v>0</v>
      </c>
      <c r="DO48" s="58">
        <f t="shared" si="52"/>
        <v>0</v>
      </c>
    </row>
    <row r="49" spans="1:119" ht="14.45">
      <c r="A49" s="23">
        <f t="shared" si="23"/>
        <v>35</v>
      </c>
      <c r="B49" s="23" t="s">
        <v>165</v>
      </c>
      <c r="C49" s="23">
        <v>40000</v>
      </c>
      <c r="D49" s="23" t="s">
        <v>166</v>
      </c>
      <c r="E49" s="44" t="s">
        <v>165</v>
      </c>
      <c r="F49" s="45" t="str">
        <f t="shared" si="24"/>
        <v>4000</v>
      </c>
      <c r="G49" s="23" t="s">
        <v>184</v>
      </c>
      <c r="H49" s="45" t="str">
        <f t="shared" si="7"/>
        <v>M3000</v>
      </c>
      <c r="I49" s="23" t="s">
        <v>215</v>
      </c>
      <c r="J49" s="23" t="s">
        <v>6</v>
      </c>
      <c r="K49" s="46" t="s">
        <v>216</v>
      </c>
      <c r="L49" s="47">
        <v>46082</v>
      </c>
      <c r="M49" s="48">
        <v>150000</v>
      </c>
      <c r="N49" s="49">
        <v>120</v>
      </c>
      <c r="O49" s="50">
        <f t="shared" si="25"/>
        <v>49706</v>
      </c>
      <c r="P49" s="51">
        <f t="shared" si="45"/>
        <v>0</v>
      </c>
      <c r="Q49" s="51">
        <f t="shared" si="45"/>
        <v>0</v>
      </c>
      <c r="R49" s="52">
        <f t="shared" si="45"/>
        <v>0</v>
      </c>
      <c r="S49" s="53">
        <f t="shared" si="45"/>
        <v>0</v>
      </c>
      <c r="T49" s="51">
        <f t="shared" si="45"/>
        <v>0</v>
      </c>
      <c r="U49" s="52">
        <f t="shared" si="45"/>
        <v>0</v>
      </c>
      <c r="V49" s="53">
        <f t="shared" si="45"/>
        <v>0</v>
      </c>
      <c r="W49" s="51">
        <f t="shared" si="45"/>
        <v>0</v>
      </c>
      <c r="X49" s="52">
        <f t="shared" si="45"/>
        <v>0</v>
      </c>
      <c r="Y49" s="53">
        <f t="shared" si="45"/>
        <v>0</v>
      </c>
      <c r="Z49" s="51">
        <f t="shared" si="45"/>
        <v>0</v>
      </c>
      <c r="AA49" s="52">
        <f t="shared" si="45"/>
        <v>0</v>
      </c>
      <c r="AB49" s="53">
        <f t="shared" si="45"/>
        <v>0</v>
      </c>
      <c r="AC49" s="51">
        <f t="shared" si="45"/>
        <v>0</v>
      </c>
      <c r="AD49" s="52">
        <f t="shared" si="45"/>
        <v>150000</v>
      </c>
      <c r="AE49" s="53">
        <f t="shared" si="45"/>
        <v>0</v>
      </c>
      <c r="AF49" s="51">
        <f t="shared" si="43"/>
        <v>0</v>
      </c>
      <c r="AG49" s="52">
        <f t="shared" si="43"/>
        <v>0</v>
      </c>
      <c r="AH49" s="53">
        <f t="shared" si="43"/>
        <v>0</v>
      </c>
      <c r="AI49" s="51">
        <f t="shared" si="43"/>
        <v>0</v>
      </c>
      <c r="AJ49" s="52">
        <f t="shared" si="43"/>
        <v>0</v>
      </c>
      <c r="AK49" s="53">
        <f t="shared" si="43"/>
        <v>0</v>
      </c>
      <c r="AL49" s="51">
        <f t="shared" si="43"/>
        <v>0</v>
      </c>
      <c r="AM49" s="52">
        <f t="shared" si="43"/>
        <v>0</v>
      </c>
      <c r="AN49" s="53">
        <f t="shared" si="43"/>
        <v>0</v>
      </c>
      <c r="AO49" s="51">
        <f t="shared" si="43"/>
        <v>0</v>
      </c>
      <c r="AP49" s="52">
        <f t="shared" si="43"/>
        <v>0</v>
      </c>
      <c r="AQ49" s="53">
        <f t="shared" si="43"/>
        <v>0</v>
      </c>
      <c r="AR49" s="51">
        <f t="shared" si="43"/>
        <v>0</v>
      </c>
      <c r="AS49" s="52">
        <f t="shared" si="43"/>
        <v>0</v>
      </c>
      <c r="AT49" s="53">
        <f t="shared" si="43"/>
        <v>0</v>
      </c>
      <c r="AU49" s="51">
        <f t="shared" si="43"/>
        <v>0</v>
      </c>
      <c r="AV49" s="52">
        <f t="shared" si="46"/>
        <v>0</v>
      </c>
      <c r="AW49" s="53">
        <f t="shared" si="46"/>
        <v>0</v>
      </c>
      <c r="AX49" s="51">
        <f t="shared" si="46"/>
        <v>0</v>
      </c>
      <c r="AY49" s="52">
        <f t="shared" si="46"/>
        <v>0</v>
      </c>
      <c r="AZ49" s="53">
        <f t="shared" si="46"/>
        <v>0</v>
      </c>
      <c r="BA49" s="51">
        <f t="shared" si="46"/>
        <v>0</v>
      </c>
      <c r="BB49" s="52">
        <f t="shared" si="46"/>
        <v>0</v>
      </c>
      <c r="BC49" s="53">
        <f t="shared" si="46"/>
        <v>0</v>
      </c>
      <c r="BD49" s="51">
        <f t="shared" si="46"/>
        <v>0</v>
      </c>
      <c r="BE49" s="52">
        <f t="shared" si="46"/>
        <v>0</v>
      </c>
      <c r="BF49" s="53">
        <f t="shared" si="46"/>
        <v>0</v>
      </c>
      <c r="BG49" s="51">
        <f t="shared" si="46"/>
        <v>0</v>
      </c>
      <c r="BH49" s="52">
        <f t="shared" si="46"/>
        <v>0</v>
      </c>
      <c r="BI49" s="53">
        <f t="shared" si="46"/>
        <v>0</v>
      </c>
      <c r="BJ49" s="51">
        <f t="shared" si="46"/>
        <v>0</v>
      </c>
      <c r="BK49" s="52">
        <f t="shared" si="46"/>
        <v>0</v>
      </c>
      <c r="BL49" s="53">
        <f t="shared" si="44"/>
        <v>0</v>
      </c>
      <c r="BM49" s="51">
        <f t="shared" si="44"/>
        <v>0</v>
      </c>
      <c r="BN49" s="52">
        <f t="shared" si="44"/>
        <v>0</v>
      </c>
      <c r="BO49" s="53">
        <f t="shared" si="44"/>
        <v>0</v>
      </c>
      <c r="BP49" s="51">
        <f t="shared" si="44"/>
        <v>0</v>
      </c>
      <c r="BQ49" s="52">
        <f t="shared" si="44"/>
        <v>0</v>
      </c>
      <c r="BR49" s="53">
        <f t="shared" si="44"/>
        <v>0</v>
      </c>
      <c r="BS49" s="51">
        <f t="shared" si="44"/>
        <v>0</v>
      </c>
      <c r="BT49" s="52">
        <f t="shared" si="44"/>
        <v>0</v>
      </c>
      <c r="BU49" s="53">
        <f t="shared" si="44"/>
        <v>0</v>
      </c>
      <c r="BV49" s="51">
        <f t="shared" si="44"/>
        <v>0</v>
      </c>
      <c r="BW49" s="52">
        <f t="shared" si="44"/>
        <v>0</v>
      </c>
      <c r="BX49" s="53">
        <f t="shared" si="44"/>
        <v>0</v>
      </c>
      <c r="BY49" s="51">
        <f t="shared" si="44"/>
        <v>0</v>
      </c>
      <c r="BZ49" s="52">
        <f t="shared" si="44"/>
        <v>0</v>
      </c>
      <c r="CA49" s="53">
        <f t="shared" si="47"/>
        <v>0</v>
      </c>
      <c r="CB49" s="51">
        <f t="shared" si="47"/>
        <v>0</v>
      </c>
      <c r="CC49" s="52">
        <f t="shared" si="47"/>
        <v>0</v>
      </c>
      <c r="CD49" s="53">
        <f t="shared" si="47"/>
        <v>0</v>
      </c>
      <c r="CE49" s="51">
        <f t="shared" si="47"/>
        <v>0</v>
      </c>
      <c r="CF49" s="52">
        <f t="shared" si="47"/>
        <v>0</v>
      </c>
      <c r="CG49" s="53">
        <f t="shared" si="47"/>
        <v>0</v>
      </c>
      <c r="CH49" s="51">
        <f t="shared" si="47"/>
        <v>0</v>
      </c>
      <c r="CI49" s="52">
        <f t="shared" si="47"/>
        <v>0</v>
      </c>
      <c r="CJ49" s="40"/>
      <c r="CK49" s="54">
        <f t="shared" si="13"/>
        <v>0</v>
      </c>
      <c r="CL49" s="54">
        <f t="shared" si="14"/>
        <v>0</v>
      </c>
      <c r="CM49" s="54">
        <f t="shared" si="15"/>
        <v>0</v>
      </c>
      <c r="CN49" s="54">
        <f t="shared" si="16"/>
        <v>0</v>
      </c>
      <c r="CO49" s="54">
        <f t="shared" si="17"/>
        <v>150000</v>
      </c>
      <c r="CP49" s="54">
        <f t="shared" si="18"/>
        <v>0</v>
      </c>
      <c r="CQ49" s="54">
        <f t="shared" si="19"/>
        <v>0</v>
      </c>
      <c r="CR49" s="54">
        <f t="shared" si="20"/>
        <v>0</v>
      </c>
      <c r="CS49" s="55">
        <f t="shared" si="49"/>
        <v>0</v>
      </c>
      <c r="CT49" s="55">
        <f t="shared" si="49"/>
        <v>0</v>
      </c>
      <c r="CU49" s="55">
        <f t="shared" si="49"/>
        <v>0</v>
      </c>
      <c r="CV49" s="55">
        <f t="shared" si="49"/>
        <v>0</v>
      </c>
      <c r="CW49" s="55">
        <f t="shared" si="49"/>
        <v>0</v>
      </c>
      <c r="CX49" s="55">
        <f t="shared" si="49"/>
        <v>0</v>
      </c>
      <c r="CY49" s="55">
        <f t="shared" si="49"/>
        <v>0</v>
      </c>
      <c r="CZ49" s="55">
        <f t="shared" si="49"/>
        <v>0</v>
      </c>
      <c r="DA49" s="55">
        <f t="shared" si="49"/>
        <v>0</v>
      </c>
      <c r="DB49" s="55">
        <f t="shared" si="49"/>
        <v>0</v>
      </c>
      <c r="DC49" s="55">
        <f t="shared" si="49"/>
        <v>0</v>
      </c>
      <c r="DD49" s="55">
        <f t="shared" si="49"/>
        <v>0</v>
      </c>
      <c r="DE49" s="55">
        <f t="shared" si="49"/>
        <v>0</v>
      </c>
      <c r="DF49" s="55">
        <f t="shared" si="49"/>
        <v>0</v>
      </c>
      <c r="DG49" s="55">
        <f t="shared" si="49"/>
        <v>0</v>
      </c>
      <c r="DH49" s="55">
        <f t="shared" si="49"/>
        <v>0</v>
      </c>
      <c r="DI49" s="40"/>
      <c r="DJ49" s="54">
        <f t="shared" si="52"/>
        <v>0</v>
      </c>
      <c r="DK49" s="56">
        <f t="shared" si="52"/>
        <v>150000</v>
      </c>
      <c r="DL49" s="57">
        <f t="shared" si="52"/>
        <v>0</v>
      </c>
      <c r="DM49" s="57">
        <f t="shared" si="52"/>
        <v>0</v>
      </c>
      <c r="DN49" s="57">
        <f t="shared" si="52"/>
        <v>0</v>
      </c>
      <c r="DO49" s="58">
        <f t="shared" si="52"/>
        <v>0</v>
      </c>
    </row>
    <row r="50" spans="1:119" ht="14.45">
      <c r="A50" s="23">
        <f t="shared" si="23"/>
        <v>36</v>
      </c>
      <c r="B50" s="23" t="s">
        <v>165</v>
      </c>
      <c r="C50" s="23">
        <v>40000</v>
      </c>
      <c r="D50" s="23" t="s">
        <v>166</v>
      </c>
      <c r="E50" s="44" t="s">
        <v>165</v>
      </c>
      <c r="F50" s="45" t="str">
        <f t="shared" si="24"/>
        <v>4000</v>
      </c>
      <c r="G50" s="23" t="s">
        <v>184</v>
      </c>
      <c r="H50" s="45" t="str">
        <f t="shared" si="7"/>
        <v>M3000</v>
      </c>
      <c r="I50" s="23" t="s">
        <v>215</v>
      </c>
      <c r="J50" s="23" t="s">
        <v>6</v>
      </c>
      <c r="K50" s="46" t="s">
        <v>217</v>
      </c>
      <c r="L50" s="47">
        <v>46174</v>
      </c>
      <c r="M50" s="48">
        <v>200000</v>
      </c>
      <c r="N50" s="49">
        <v>120</v>
      </c>
      <c r="O50" s="50">
        <f t="shared" si="25"/>
        <v>49796</v>
      </c>
      <c r="P50" s="51">
        <f t="shared" si="45"/>
        <v>0</v>
      </c>
      <c r="Q50" s="51">
        <f t="shared" si="45"/>
        <v>0</v>
      </c>
      <c r="R50" s="52">
        <f t="shared" si="45"/>
        <v>0</v>
      </c>
      <c r="S50" s="53">
        <f t="shared" si="45"/>
        <v>0</v>
      </c>
      <c r="T50" s="51">
        <f t="shared" si="45"/>
        <v>0</v>
      </c>
      <c r="U50" s="52">
        <f t="shared" si="45"/>
        <v>0</v>
      </c>
      <c r="V50" s="53">
        <f t="shared" si="45"/>
        <v>0</v>
      </c>
      <c r="W50" s="51">
        <f t="shared" si="45"/>
        <v>0</v>
      </c>
      <c r="X50" s="52">
        <f t="shared" si="45"/>
        <v>0</v>
      </c>
      <c r="Y50" s="53">
        <f t="shared" si="45"/>
        <v>0</v>
      </c>
      <c r="Z50" s="51">
        <f t="shared" si="45"/>
        <v>0</v>
      </c>
      <c r="AA50" s="52">
        <f t="shared" si="45"/>
        <v>0</v>
      </c>
      <c r="AB50" s="53">
        <f t="shared" si="45"/>
        <v>0</v>
      </c>
      <c r="AC50" s="51">
        <f t="shared" si="45"/>
        <v>0</v>
      </c>
      <c r="AD50" s="52">
        <f t="shared" si="45"/>
        <v>0</v>
      </c>
      <c r="AE50" s="53">
        <f t="shared" si="45"/>
        <v>0</v>
      </c>
      <c r="AF50" s="51">
        <f t="shared" si="43"/>
        <v>0</v>
      </c>
      <c r="AG50" s="52">
        <f t="shared" si="43"/>
        <v>200000</v>
      </c>
      <c r="AH50" s="53">
        <f t="shared" si="43"/>
        <v>0</v>
      </c>
      <c r="AI50" s="51">
        <f t="shared" si="43"/>
        <v>0</v>
      </c>
      <c r="AJ50" s="52">
        <f t="shared" si="43"/>
        <v>0</v>
      </c>
      <c r="AK50" s="53">
        <f t="shared" si="43"/>
        <v>0</v>
      </c>
      <c r="AL50" s="51">
        <f t="shared" si="43"/>
        <v>0</v>
      </c>
      <c r="AM50" s="52">
        <f t="shared" si="43"/>
        <v>0</v>
      </c>
      <c r="AN50" s="53">
        <f t="shared" si="43"/>
        <v>0</v>
      </c>
      <c r="AO50" s="51">
        <f t="shared" si="43"/>
        <v>0</v>
      </c>
      <c r="AP50" s="52">
        <f t="shared" si="43"/>
        <v>0</v>
      </c>
      <c r="AQ50" s="53">
        <f t="shared" si="43"/>
        <v>0</v>
      </c>
      <c r="AR50" s="51">
        <f t="shared" si="43"/>
        <v>0</v>
      </c>
      <c r="AS50" s="52">
        <f t="shared" si="43"/>
        <v>0</v>
      </c>
      <c r="AT50" s="53">
        <f t="shared" si="43"/>
        <v>0</v>
      </c>
      <c r="AU50" s="51">
        <f t="shared" si="43"/>
        <v>0</v>
      </c>
      <c r="AV50" s="52">
        <f t="shared" si="46"/>
        <v>0</v>
      </c>
      <c r="AW50" s="53">
        <f t="shared" si="46"/>
        <v>0</v>
      </c>
      <c r="AX50" s="51">
        <f t="shared" si="46"/>
        <v>0</v>
      </c>
      <c r="AY50" s="52">
        <f t="shared" si="46"/>
        <v>0</v>
      </c>
      <c r="AZ50" s="53">
        <f t="shared" si="46"/>
        <v>0</v>
      </c>
      <c r="BA50" s="51">
        <f t="shared" si="46"/>
        <v>0</v>
      </c>
      <c r="BB50" s="52">
        <f t="shared" si="46"/>
        <v>0</v>
      </c>
      <c r="BC50" s="53">
        <f t="shared" si="46"/>
        <v>0</v>
      </c>
      <c r="BD50" s="51">
        <f t="shared" si="46"/>
        <v>0</v>
      </c>
      <c r="BE50" s="52">
        <f t="shared" si="46"/>
        <v>0</v>
      </c>
      <c r="BF50" s="53">
        <f t="shared" si="46"/>
        <v>0</v>
      </c>
      <c r="BG50" s="51">
        <f t="shared" si="46"/>
        <v>0</v>
      </c>
      <c r="BH50" s="52">
        <f t="shared" si="46"/>
        <v>0</v>
      </c>
      <c r="BI50" s="53">
        <f t="shared" si="46"/>
        <v>0</v>
      </c>
      <c r="BJ50" s="51">
        <f t="shared" si="46"/>
        <v>0</v>
      </c>
      <c r="BK50" s="52">
        <f t="shared" si="46"/>
        <v>0</v>
      </c>
      <c r="BL50" s="53">
        <f t="shared" si="44"/>
        <v>0</v>
      </c>
      <c r="BM50" s="51">
        <f t="shared" si="44"/>
        <v>0</v>
      </c>
      <c r="BN50" s="52">
        <f t="shared" si="44"/>
        <v>0</v>
      </c>
      <c r="BO50" s="53">
        <f t="shared" si="44"/>
        <v>0</v>
      </c>
      <c r="BP50" s="51">
        <f t="shared" si="44"/>
        <v>0</v>
      </c>
      <c r="BQ50" s="52">
        <f t="shared" si="44"/>
        <v>0</v>
      </c>
      <c r="BR50" s="53">
        <f t="shared" si="44"/>
        <v>0</v>
      </c>
      <c r="BS50" s="51">
        <f t="shared" si="44"/>
        <v>0</v>
      </c>
      <c r="BT50" s="52">
        <f t="shared" si="44"/>
        <v>0</v>
      </c>
      <c r="BU50" s="53">
        <f t="shared" si="44"/>
        <v>0</v>
      </c>
      <c r="BV50" s="51">
        <f t="shared" si="44"/>
        <v>0</v>
      </c>
      <c r="BW50" s="52">
        <f t="shared" si="44"/>
        <v>0</v>
      </c>
      <c r="BX50" s="53">
        <f t="shared" si="44"/>
        <v>0</v>
      </c>
      <c r="BY50" s="51">
        <f t="shared" si="44"/>
        <v>0</v>
      </c>
      <c r="BZ50" s="52">
        <f t="shared" si="44"/>
        <v>0</v>
      </c>
      <c r="CA50" s="53">
        <f t="shared" si="47"/>
        <v>0</v>
      </c>
      <c r="CB50" s="51">
        <f t="shared" si="47"/>
        <v>0</v>
      </c>
      <c r="CC50" s="52">
        <f t="shared" si="47"/>
        <v>0</v>
      </c>
      <c r="CD50" s="53">
        <f t="shared" si="47"/>
        <v>0</v>
      </c>
      <c r="CE50" s="51">
        <f t="shared" si="47"/>
        <v>0</v>
      </c>
      <c r="CF50" s="52">
        <f t="shared" si="47"/>
        <v>0</v>
      </c>
      <c r="CG50" s="53">
        <f t="shared" si="47"/>
        <v>0</v>
      </c>
      <c r="CH50" s="51">
        <f t="shared" si="47"/>
        <v>0</v>
      </c>
      <c r="CI50" s="52">
        <f t="shared" si="47"/>
        <v>0</v>
      </c>
      <c r="CJ50" s="40"/>
      <c r="CK50" s="54">
        <f t="shared" si="13"/>
        <v>0</v>
      </c>
      <c r="CL50" s="54">
        <f t="shared" si="14"/>
        <v>0</v>
      </c>
      <c r="CM50" s="54">
        <f t="shared" si="15"/>
        <v>0</v>
      </c>
      <c r="CN50" s="54">
        <f t="shared" si="16"/>
        <v>0</v>
      </c>
      <c r="CO50" s="54">
        <f t="shared" si="17"/>
        <v>0</v>
      </c>
      <c r="CP50" s="54">
        <f t="shared" si="18"/>
        <v>200000</v>
      </c>
      <c r="CQ50" s="54">
        <f t="shared" si="19"/>
        <v>0</v>
      </c>
      <c r="CR50" s="54">
        <f t="shared" si="20"/>
        <v>0</v>
      </c>
      <c r="CS50" s="55">
        <f t="shared" si="49"/>
        <v>0</v>
      </c>
      <c r="CT50" s="55">
        <f t="shared" si="49"/>
        <v>0</v>
      </c>
      <c r="CU50" s="55">
        <f t="shared" si="49"/>
        <v>0</v>
      </c>
      <c r="CV50" s="55">
        <f t="shared" si="49"/>
        <v>0</v>
      </c>
      <c r="CW50" s="55">
        <f t="shared" si="49"/>
        <v>0</v>
      </c>
      <c r="CX50" s="55">
        <f t="shared" si="49"/>
        <v>0</v>
      </c>
      <c r="CY50" s="55">
        <f t="shared" si="49"/>
        <v>0</v>
      </c>
      <c r="CZ50" s="55">
        <f t="shared" si="49"/>
        <v>0</v>
      </c>
      <c r="DA50" s="55">
        <f t="shared" si="49"/>
        <v>0</v>
      </c>
      <c r="DB50" s="55">
        <f t="shared" si="49"/>
        <v>0</v>
      </c>
      <c r="DC50" s="55">
        <f t="shared" si="49"/>
        <v>0</v>
      </c>
      <c r="DD50" s="55">
        <f t="shared" si="49"/>
        <v>0</v>
      </c>
      <c r="DE50" s="55">
        <f t="shared" si="49"/>
        <v>0</v>
      </c>
      <c r="DF50" s="55">
        <f t="shared" si="49"/>
        <v>0</v>
      </c>
      <c r="DG50" s="55">
        <f t="shared" si="49"/>
        <v>0</v>
      </c>
      <c r="DH50" s="55">
        <f t="shared" si="49"/>
        <v>0</v>
      </c>
      <c r="DI50" s="40"/>
      <c r="DJ50" s="54">
        <f t="shared" si="52"/>
        <v>0</v>
      </c>
      <c r="DK50" s="56">
        <f t="shared" si="52"/>
        <v>200000</v>
      </c>
      <c r="DL50" s="57">
        <f t="shared" si="52"/>
        <v>0</v>
      </c>
      <c r="DM50" s="57">
        <f t="shared" si="52"/>
        <v>0</v>
      </c>
      <c r="DN50" s="57">
        <f t="shared" si="52"/>
        <v>0</v>
      </c>
      <c r="DO50" s="58">
        <f t="shared" si="52"/>
        <v>0</v>
      </c>
    </row>
    <row r="51" spans="1:119" ht="14.45">
      <c r="A51" s="23">
        <f t="shared" si="23"/>
        <v>37</v>
      </c>
      <c r="B51" s="23" t="s">
        <v>165</v>
      </c>
      <c r="C51" s="23">
        <v>40000</v>
      </c>
      <c r="D51" s="23" t="s">
        <v>166</v>
      </c>
      <c r="E51" s="44" t="s">
        <v>165</v>
      </c>
      <c r="F51" s="45" t="str">
        <f t="shared" si="24"/>
        <v>4000</v>
      </c>
      <c r="G51" s="23" t="s">
        <v>184</v>
      </c>
      <c r="H51" s="45" t="str">
        <f t="shared" si="7"/>
        <v>M3000</v>
      </c>
      <c r="I51" s="23" t="s">
        <v>215</v>
      </c>
      <c r="J51" s="23" t="s">
        <v>6</v>
      </c>
      <c r="K51" s="46" t="s">
        <v>218</v>
      </c>
      <c r="L51" s="47">
        <v>46296</v>
      </c>
      <c r="M51" s="48">
        <v>100000</v>
      </c>
      <c r="N51" s="49">
        <v>120</v>
      </c>
      <c r="O51" s="50">
        <f t="shared" si="25"/>
        <v>49919</v>
      </c>
      <c r="P51" s="51">
        <f t="shared" si="45"/>
        <v>0</v>
      </c>
      <c r="Q51" s="51">
        <f t="shared" si="45"/>
        <v>0</v>
      </c>
      <c r="R51" s="52">
        <f t="shared" si="45"/>
        <v>0</v>
      </c>
      <c r="S51" s="53">
        <f t="shared" si="45"/>
        <v>0</v>
      </c>
      <c r="T51" s="51">
        <f t="shared" si="45"/>
        <v>0</v>
      </c>
      <c r="U51" s="52">
        <f t="shared" si="45"/>
        <v>0</v>
      </c>
      <c r="V51" s="53">
        <f t="shared" si="45"/>
        <v>0</v>
      </c>
      <c r="W51" s="51">
        <f t="shared" si="45"/>
        <v>0</v>
      </c>
      <c r="X51" s="52">
        <f t="shared" si="45"/>
        <v>0</v>
      </c>
      <c r="Y51" s="53">
        <f t="shared" si="45"/>
        <v>0</v>
      </c>
      <c r="Z51" s="51">
        <f t="shared" si="45"/>
        <v>0</v>
      </c>
      <c r="AA51" s="52">
        <f t="shared" si="45"/>
        <v>0</v>
      </c>
      <c r="AB51" s="53">
        <f t="shared" si="45"/>
        <v>0</v>
      </c>
      <c r="AC51" s="51">
        <f t="shared" si="45"/>
        <v>0</v>
      </c>
      <c r="AD51" s="52">
        <f t="shared" si="45"/>
        <v>0</v>
      </c>
      <c r="AE51" s="53">
        <f t="shared" si="45"/>
        <v>0</v>
      </c>
      <c r="AF51" s="51">
        <f t="shared" si="43"/>
        <v>0</v>
      </c>
      <c r="AG51" s="52">
        <f t="shared" si="43"/>
        <v>0</v>
      </c>
      <c r="AH51" s="53">
        <f t="shared" si="43"/>
        <v>0</v>
      </c>
      <c r="AI51" s="51">
        <f t="shared" si="43"/>
        <v>0</v>
      </c>
      <c r="AJ51" s="52">
        <f t="shared" si="43"/>
        <v>0</v>
      </c>
      <c r="AK51" s="53">
        <f t="shared" si="43"/>
        <v>100000</v>
      </c>
      <c r="AL51" s="51">
        <f t="shared" si="43"/>
        <v>0</v>
      </c>
      <c r="AM51" s="52">
        <f t="shared" si="43"/>
        <v>0</v>
      </c>
      <c r="AN51" s="53">
        <f t="shared" si="43"/>
        <v>0</v>
      </c>
      <c r="AO51" s="51">
        <f t="shared" si="43"/>
        <v>0</v>
      </c>
      <c r="AP51" s="52">
        <f t="shared" si="43"/>
        <v>0</v>
      </c>
      <c r="AQ51" s="53">
        <f t="shared" si="43"/>
        <v>0</v>
      </c>
      <c r="AR51" s="51">
        <f t="shared" si="43"/>
        <v>0</v>
      </c>
      <c r="AS51" s="52">
        <f t="shared" si="43"/>
        <v>0</v>
      </c>
      <c r="AT51" s="53">
        <f t="shared" si="43"/>
        <v>0</v>
      </c>
      <c r="AU51" s="51">
        <f t="shared" si="43"/>
        <v>0</v>
      </c>
      <c r="AV51" s="52">
        <f t="shared" si="46"/>
        <v>0</v>
      </c>
      <c r="AW51" s="53">
        <f t="shared" si="46"/>
        <v>0</v>
      </c>
      <c r="AX51" s="51">
        <f t="shared" si="46"/>
        <v>0</v>
      </c>
      <c r="AY51" s="52">
        <f t="shared" si="46"/>
        <v>0</v>
      </c>
      <c r="AZ51" s="53">
        <f t="shared" si="46"/>
        <v>0</v>
      </c>
      <c r="BA51" s="51">
        <f t="shared" si="46"/>
        <v>0</v>
      </c>
      <c r="BB51" s="52">
        <f t="shared" si="46"/>
        <v>0</v>
      </c>
      <c r="BC51" s="53">
        <f t="shared" si="46"/>
        <v>0</v>
      </c>
      <c r="BD51" s="51">
        <f t="shared" si="46"/>
        <v>0</v>
      </c>
      <c r="BE51" s="52">
        <f t="shared" si="46"/>
        <v>0</v>
      </c>
      <c r="BF51" s="53">
        <f t="shared" si="46"/>
        <v>0</v>
      </c>
      <c r="BG51" s="51">
        <f t="shared" si="46"/>
        <v>0</v>
      </c>
      <c r="BH51" s="52">
        <f t="shared" si="46"/>
        <v>0</v>
      </c>
      <c r="BI51" s="53">
        <f t="shared" si="46"/>
        <v>0</v>
      </c>
      <c r="BJ51" s="51">
        <f t="shared" si="46"/>
        <v>0</v>
      </c>
      <c r="BK51" s="52">
        <f t="shared" si="46"/>
        <v>0</v>
      </c>
      <c r="BL51" s="53">
        <f t="shared" si="44"/>
        <v>0</v>
      </c>
      <c r="BM51" s="51">
        <f t="shared" si="44"/>
        <v>0</v>
      </c>
      <c r="BN51" s="52">
        <f t="shared" si="44"/>
        <v>0</v>
      </c>
      <c r="BO51" s="53">
        <f t="shared" si="44"/>
        <v>0</v>
      </c>
      <c r="BP51" s="51">
        <f t="shared" si="44"/>
        <v>0</v>
      </c>
      <c r="BQ51" s="52">
        <f t="shared" si="44"/>
        <v>0</v>
      </c>
      <c r="BR51" s="53">
        <f t="shared" si="44"/>
        <v>0</v>
      </c>
      <c r="BS51" s="51">
        <f t="shared" si="44"/>
        <v>0</v>
      </c>
      <c r="BT51" s="52">
        <f t="shared" si="44"/>
        <v>0</v>
      </c>
      <c r="BU51" s="53">
        <f t="shared" si="44"/>
        <v>0</v>
      </c>
      <c r="BV51" s="51">
        <f t="shared" si="44"/>
        <v>0</v>
      </c>
      <c r="BW51" s="52">
        <f t="shared" si="44"/>
        <v>0</v>
      </c>
      <c r="BX51" s="53">
        <f t="shared" si="44"/>
        <v>0</v>
      </c>
      <c r="BY51" s="51">
        <f t="shared" si="44"/>
        <v>0</v>
      </c>
      <c r="BZ51" s="52">
        <f t="shared" si="44"/>
        <v>0</v>
      </c>
      <c r="CA51" s="53">
        <f t="shared" si="47"/>
        <v>0</v>
      </c>
      <c r="CB51" s="51">
        <f t="shared" si="47"/>
        <v>0</v>
      </c>
      <c r="CC51" s="52">
        <f t="shared" si="47"/>
        <v>0</v>
      </c>
      <c r="CD51" s="53">
        <f t="shared" si="47"/>
        <v>0</v>
      </c>
      <c r="CE51" s="51">
        <f t="shared" si="47"/>
        <v>0</v>
      </c>
      <c r="CF51" s="52">
        <f t="shared" si="47"/>
        <v>0</v>
      </c>
      <c r="CG51" s="53">
        <f t="shared" si="47"/>
        <v>0</v>
      </c>
      <c r="CH51" s="51">
        <f t="shared" si="47"/>
        <v>0</v>
      </c>
      <c r="CI51" s="52">
        <f t="shared" si="47"/>
        <v>0</v>
      </c>
      <c r="CJ51" s="40"/>
      <c r="CK51" s="54">
        <f t="shared" si="13"/>
        <v>0</v>
      </c>
      <c r="CL51" s="54">
        <f t="shared" si="14"/>
        <v>0</v>
      </c>
      <c r="CM51" s="54">
        <f t="shared" si="15"/>
        <v>0</v>
      </c>
      <c r="CN51" s="54">
        <f t="shared" si="16"/>
        <v>0</v>
      </c>
      <c r="CO51" s="54">
        <f t="shared" si="17"/>
        <v>0</v>
      </c>
      <c r="CP51" s="54">
        <f t="shared" si="18"/>
        <v>0</v>
      </c>
      <c r="CQ51" s="54">
        <f t="shared" si="19"/>
        <v>0</v>
      </c>
      <c r="CR51" s="54">
        <f t="shared" si="20"/>
        <v>100000</v>
      </c>
      <c r="CS51" s="55">
        <f t="shared" si="49"/>
        <v>0</v>
      </c>
      <c r="CT51" s="55">
        <f t="shared" si="49"/>
        <v>0</v>
      </c>
      <c r="CU51" s="55">
        <f t="shared" si="49"/>
        <v>0</v>
      </c>
      <c r="CV51" s="55">
        <f t="shared" si="49"/>
        <v>0</v>
      </c>
      <c r="CW51" s="55">
        <f t="shared" si="49"/>
        <v>0</v>
      </c>
      <c r="CX51" s="55">
        <f t="shared" si="49"/>
        <v>0</v>
      </c>
      <c r="CY51" s="55">
        <f t="shared" si="49"/>
        <v>0</v>
      </c>
      <c r="CZ51" s="55">
        <f t="shared" si="49"/>
        <v>0</v>
      </c>
      <c r="DA51" s="55">
        <f t="shared" si="49"/>
        <v>0</v>
      </c>
      <c r="DB51" s="55">
        <f t="shared" si="49"/>
        <v>0</v>
      </c>
      <c r="DC51" s="55">
        <f t="shared" si="49"/>
        <v>0</v>
      </c>
      <c r="DD51" s="55">
        <f t="shared" si="49"/>
        <v>0</v>
      </c>
      <c r="DE51" s="55">
        <f t="shared" si="49"/>
        <v>0</v>
      </c>
      <c r="DF51" s="55">
        <f t="shared" si="49"/>
        <v>0</v>
      </c>
      <c r="DG51" s="55">
        <f t="shared" si="49"/>
        <v>0</v>
      </c>
      <c r="DH51" s="55">
        <f t="shared" si="49"/>
        <v>0</v>
      </c>
      <c r="DI51" s="40"/>
      <c r="DJ51" s="54">
        <f t="shared" si="52"/>
        <v>0</v>
      </c>
      <c r="DK51" s="56">
        <f t="shared" si="52"/>
        <v>100000</v>
      </c>
      <c r="DL51" s="57">
        <f t="shared" si="52"/>
        <v>0</v>
      </c>
      <c r="DM51" s="57">
        <f t="shared" si="52"/>
        <v>0</v>
      </c>
      <c r="DN51" s="57">
        <f t="shared" si="52"/>
        <v>0</v>
      </c>
      <c r="DO51" s="58">
        <f t="shared" si="52"/>
        <v>0</v>
      </c>
    </row>
    <row r="52" spans="1:119" ht="14.45">
      <c r="A52" s="23">
        <f t="shared" si="23"/>
        <v>38</v>
      </c>
      <c r="B52" s="23" t="s">
        <v>165</v>
      </c>
      <c r="C52" s="23">
        <v>40000</v>
      </c>
      <c r="D52" s="23" t="s">
        <v>166</v>
      </c>
      <c r="E52" s="44" t="s">
        <v>165</v>
      </c>
      <c r="F52" s="45" t="str">
        <f t="shared" si="24"/>
        <v/>
      </c>
      <c r="H52" s="45"/>
      <c r="K52" s="46"/>
      <c r="L52" s="47"/>
      <c r="M52" s="48"/>
      <c r="N52" s="49"/>
      <c r="O52" s="50" t="str">
        <f t="shared" si="25"/>
        <v/>
      </c>
      <c r="P52" s="51">
        <f t="shared" si="45"/>
        <v>0</v>
      </c>
      <c r="Q52" s="51">
        <f t="shared" si="45"/>
        <v>0</v>
      </c>
      <c r="R52" s="52">
        <f t="shared" si="45"/>
        <v>0</v>
      </c>
      <c r="S52" s="53">
        <f t="shared" si="45"/>
        <v>0</v>
      </c>
      <c r="T52" s="51">
        <f t="shared" si="45"/>
        <v>0</v>
      </c>
      <c r="U52" s="52">
        <f t="shared" si="45"/>
        <v>0</v>
      </c>
      <c r="V52" s="53">
        <f t="shared" si="45"/>
        <v>0</v>
      </c>
      <c r="W52" s="51">
        <f t="shared" si="45"/>
        <v>0</v>
      </c>
      <c r="X52" s="52">
        <f t="shared" si="45"/>
        <v>0</v>
      </c>
      <c r="Y52" s="53">
        <f t="shared" si="45"/>
        <v>0</v>
      </c>
      <c r="Z52" s="51">
        <f t="shared" si="45"/>
        <v>0</v>
      </c>
      <c r="AA52" s="52">
        <f t="shared" si="45"/>
        <v>0</v>
      </c>
      <c r="AB52" s="53">
        <f t="shared" si="45"/>
        <v>0</v>
      </c>
      <c r="AC52" s="51">
        <f t="shared" si="45"/>
        <v>0</v>
      </c>
      <c r="AD52" s="52">
        <f t="shared" si="45"/>
        <v>0</v>
      </c>
      <c r="AE52" s="53">
        <f t="shared" si="45"/>
        <v>0</v>
      </c>
      <c r="AF52" s="51">
        <f t="shared" si="43"/>
        <v>0</v>
      </c>
      <c r="AG52" s="52">
        <f t="shared" si="43"/>
        <v>0</v>
      </c>
      <c r="AH52" s="53">
        <f t="shared" si="43"/>
        <v>0</v>
      </c>
      <c r="AI52" s="51">
        <f t="shared" si="43"/>
        <v>0</v>
      </c>
      <c r="AJ52" s="52">
        <f t="shared" si="43"/>
        <v>0</v>
      </c>
      <c r="AK52" s="53">
        <f t="shared" si="43"/>
        <v>0</v>
      </c>
      <c r="AL52" s="51">
        <f t="shared" si="43"/>
        <v>0</v>
      </c>
      <c r="AM52" s="52">
        <f t="shared" si="43"/>
        <v>0</v>
      </c>
      <c r="AN52" s="53">
        <f t="shared" si="43"/>
        <v>0</v>
      </c>
      <c r="AO52" s="51">
        <f t="shared" si="43"/>
        <v>0</v>
      </c>
      <c r="AP52" s="52">
        <f t="shared" si="43"/>
        <v>0</v>
      </c>
      <c r="AQ52" s="53">
        <f t="shared" si="43"/>
        <v>0</v>
      </c>
      <c r="AR52" s="51">
        <f t="shared" si="43"/>
        <v>0</v>
      </c>
      <c r="AS52" s="52">
        <f t="shared" si="43"/>
        <v>0</v>
      </c>
      <c r="AT52" s="53">
        <f t="shared" si="43"/>
        <v>0</v>
      </c>
      <c r="AU52" s="51">
        <f t="shared" si="43"/>
        <v>0</v>
      </c>
      <c r="AV52" s="52">
        <f t="shared" si="46"/>
        <v>0</v>
      </c>
      <c r="AW52" s="53">
        <f t="shared" si="46"/>
        <v>0</v>
      </c>
      <c r="AX52" s="51">
        <f t="shared" si="46"/>
        <v>0</v>
      </c>
      <c r="AY52" s="52">
        <f t="shared" si="46"/>
        <v>0</v>
      </c>
      <c r="AZ52" s="53">
        <f t="shared" si="46"/>
        <v>0</v>
      </c>
      <c r="BA52" s="51">
        <f t="shared" si="46"/>
        <v>0</v>
      </c>
      <c r="BB52" s="52">
        <f t="shared" si="46"/>
        <v>0</v>
      </c>
      <c r="BC52" s="53">
        <f t="shared" si="46"/>
        <v>0</v>
      </c>
      <c r="BD52" s="51">
        <f t="shared" si="46"/>
        <v>0</v>
      </c>
      <c r="BE52" s="52">
        <f t="shared" si="46"/>
        <v>0</v>
      </c>
      <c r="BF52" s="53">
        <f t="shared" si="46"/>
        <v>0</v>
      </c>
      <c r="BG52" s="51">
        <f t="shared" si="46"/>
        <v>0</v>
      </c>
      <c r="BH52" s="52">
        <f t="shared" si="46"/>
        <v>0</v>
      </c>
      <c r="BI52" s="53">
        <f t="shared" si="46"/>
        <v>0</v>
      </c>
      <c r="BJ52" s="51">
        <f t="shared" si="46"/>
        <v>0</v>
      </c>
      <c r="BK52" s="52">
        <f t="shared" si="46"/>
        <v>0</v>
      </c>
      <c r="BL52" s="53">
        <f t="shared" si="44"/>
        <v>0</v>
      </c>
      <c r="BM52" s="51">
        <f t="shared" si="44"/>
        <v>0</v>
      </c>
      <c r="BN52" s="52">
        <f t="shared" si="44"/>
        <v>0</v>
      </c>
      <c r="BO52" s="53">
        <f t="shared" si="44"/>
        <v>0</v>
      </c>
      <c r="BP52" s="51">
        <f t="shared" si="44"/>
        <v>0</v>
      </c>
      <c r="BQ52" s="52">
        <f t="shared" si="44"/>
        <v>0</v>
      </c>
      <c r="BR52" s="53">
        <f t="shared" si="44"/>
        <v>0</v>
      </c>
      <c r="BS52" s="51">
        <f t="shared" si="44"/>
        <v>0</v>
      </c>
      <c r="BT52" s="52">
        <f t="shared" si="44"/>
        <v>0</v>
      </c>
      <c r="BU52" s="53">
        <f t="shared" si="44"/>
        <v>0</v>
      </c>
      <c r="BV52" s="51">
        <f t="shared" si="44"/>
        <v>0</v>
      </c>
      <c r="BW52" s="52">
        <f t="shared" si="44"/>
        <v>0</v>
      </c>
      <c r="BX52" s="53">
        <f t="shared" si="44"/>
        <v>0</v>
      </c>
      <c r="BY52" s="51">
        <f t="shared" si="44"/>
        <v>0</v>
      </c>
      <c r="BZ52" s="52">
        <f t="shared" si="44"/>
        <v>0</v>
      </c>
      <c r="CA52" s="53">
        <f t="shared" si="47"/>
        <v>0</v>
      </c>
      <c r="CB52" s="51">
        <f t="shared" si="47"/>
        <v>0</v>
      </c>
      <c r="CC52" s="52">
        <f t="shared" si="47"/>
        <v>0</v>
      </c>
      <c r="CD52" s="53">
        <f t="shared" si="47"/>
        <v>0</v>
      </c>
      <c r="CE52" s="51">
        <f t="shared" si="47"/>
        <v>0</v>
      </c>
      <c r="CF52" s="52">
        <f t="shared" si="47"/>
        <v>0</v>
      </c>
      <c r="CG52" s="53">
        <f t="shared" si="47"/>
        <v>0</v>
      </c>
      <c r="CH52" s="51">
        <f t="shared" si="47"/>
        <v>0</v>
      </c>
      <c r="CI52" s="52">
        <f t="shared" si="47"/>
        <v>0</v>
      </c>
      <c r="CJ52" s="40"/>
      <c r="CK52" s="54">
        <f t="shared" si="13"/>
        <v>0</v>
      </c>
      <c r="CL52" s="54">
        <f t="shared" si="14"/>
        <v>0</v>
      </c>
      <c r="CM52" s="54">
        <f t="shared" si="15"/>
        <v>0</v>
      </c>
      <c r="CN52" s="54">
        <f t="shared" si="16"/>
        <v>0</v>
      </c>
      <c r="CO52" s="54">
        <f t="shared" si="17"/>
        <v>0</v>
      </c>
      <c r="CP52" s="54">
        <f t="shared" si="18"/>
        <v>0</v>
      </c>
      <c r="CQ52" s="54">
        <f t="shared" si="19"/>
        <v>0</v>
      </c>
      <c r="CR52" s="54">
        <f t="shared" si="20"/>
        <v>0</v>
      </c>
      <c r="CS52" s="55">
        <f t="shared" si="49"/>
        <v>0</v>
      </c>
      <c r="CT52" s="55">
        <f t="shared" si="49"/>
        <v>0</v>
      </c>
      <c r="CU52" s="55">
        <f t="shared" si="49"/>
        <v>0</v>
      </c>
      <c r="CV52" s="55">
        <f t="shared" si="49"/>
        <v>0</v>
      </c>
      <c r="CW52" s="55">
        <f t="shared" si="49"/>
        <v>0</v>
      </c>
      <c r="CX52" s="55">
        <f t="shared" si="49"/>
        <v>0</v>
      </c>
      <c r="CY52" s="55">
        <f t="shared" si="49"/>
        <v>0</v>
      </c>
      <c r="CZ52" s="55">
        <f t="shared" si="49"/>
        <v>0</v>
      </c>
      <c r="DA52" s="55">
        <f t="shared" si="49"/>
        <v>0</v>
      </c>
      <c r="DB52" s="55">
        <f t="shared" si="49"/>
        <v>0</v>
      </c>
      <c r="DC52" s="55">
        <f t="shared" si="49"/>
        <v>0</v>
      </c>
      <c r="DD52" s="55">
        <f t="shared" si="49"/>
        <v>0</v>
      </c>
      <c r="DE52" s="55">
        <f t="shared" si="49"/>
        <v>0</v>
      </c>
      <c r="DF52" s="55">
        <f t="shared" si="49"/>
        <v>0</v>
      </c>
      <c r="DG52" s="55">
        <f t="shared" si="49"/>
        <v>0</v>
      </c>
      <c r="DH52" s="55">
        <f t="shared" si="49"/>
        <v>0</v>
      </c>
      <c r="DI52" s="40"/>
      <c r="DJ52" s="54">
        <f t="shared" si="52"/>
        <v>0</v>
      </c>
      <c r="DK52" s="56">
        <f t="shared" si="52"/>
        <v>0</v>
      </c>
      <c r="DL52" s="57">
        <f t="shared" si="52"/>
        <v>0</v>
      </c>
      <c r="DM52" s="57">
        <f t="shared" si="52"/>
        <v>0</v>
      </c>
      <c r="DN52" s="57">
        <f t="shared" si="52"/>
        <v>0</v>
      </c>
      <c r="DO52" s="58">
        <f t="shared" si="52"/>
        <v>0</v>
      </c>
    </row>
    <row r="53" spans="1:119" ht="12.95">
      <c r="M53" s="59"/>
      <c r="N53" s="60"/>
      <c r="O53" s="60"/>
      <c r="P53" s="58"/>
      <c r="Q53" s="58"/>
      <c r="R53" s="61"/>
      <c r="S53" s="62"/>
      <c r="T53" s="58"/>
      <c r="U53" s="61"/>
      <c r="V53" s="62"/>
      <c r="W53" s="58"/>
      <c r="X53" s="61"/>
      <c r="Y53" s="62"/>
      <c r="Z53" s="58"/>
      <c r="AA53" s="61"/>
      <c r="AB53" s="62"/>
      <c r="AC53" s="58"/>
      <c r="AD53" s="61"/>
      <c r="AE53" s="62"/>
      <c r="AF53" s="58"/>
      <c r="AG53" s="61"/>
      <c r="AH53" s="62"/>
      <c r="AI53" s="58"/>
      <c r="AJ53" s="61"/>
      <c r="AK53" s="62"/>
      <c r="AL53" s="58"/>
      <c r="AM53" s="61"/>
      <c r="AN53" s="62"/>
      <c r="AO53" s="58"/>
      <c r="AP53" s="61"/>
      <c r="AQ53" s="62"/>
      <c r="AR53" s="58"/>
      <c r="AS53" s="61"/>
      <c r="AT53" s="62"/>
      <c r="AU53" s="58"/>
      <c r="AV53" s="61"/>
      <c r="AW53" s="62"/>
      <c r="AX53" s="58"/>
      <c r="AY53" s="61"/>
      <c r="AZ53" s="62"/>
      <c r="BA53" s="58"/>
      <c r="BB53" s="61"/>
      <c r="BC53" s="62"/>
      <c r="BD53" s="58"/>
      <c r="BE53" s="61"/>
      <c r="BF53" s="62"/>
      <c r="BG53" s="58"/>
      <c r="BH53" s="61"/>
      <c r="BI53" s="62"/>
      <c r="BJ53" s="58"/>
      <c r="BK53" s="61"/>
      <c r="BL53" s="62"/>
      <c r="BM53" s="58"/>
      <c r="BN53" s="61"/>
      <c r="BO53" s="62"/>
      <c r="BP53" s="58"/>
      <c r="BQ53" s="61"/>
      <c r="BR53" s="62"/>
      <c r="BS53" s="58"/>
      <c r="BT53" s="61"/>
      <c r="BU53" s="62"/>
      <c r="BV53" s="58"/>
      <c r="BW53" s="61"/>
      <c r="BX53" s="62"/>
      <c r="BY53" s="58"/>
      <c r="BZ53" s="61"/>
      <c r="CA53" s="62"/>
      <c r="CB53" s="58"/>
      <c r="CC53" s="61"/>
      <c r="CD53" s="62"/>
      <c r="CE53" s="58"/>
      <c r="CF53" s="61"/>
      <c r="CG53" s="62"/>
      <c r="CH53" s="58"/>
      <c r="CI53" s="61"/>
      <c r="CJ53" s="40"/>
      <c r="CK53" s="63"/>
      <c r="CL53" s="63"/>
      <c r="CM53" s="63"/>
      <c r="CN53" s="63"/>
      <c r="CO53" s="63"/>
      <c r="CP53" s="63"/>
      <c r="CQ53" s="63"/>
      <c r="CR53" s="63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63"/>
      <c r="DK53" s="63"/>
      <c r="DL53" s="64"/>
      <c r="DM53" s="64"/>
      <c r="DN53" s="64"/>
      <c r="DO53" s="65"/>
    </row>
    <row r="54" spans="1:119" ht="14.4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7"/>
      <c r="N54" s="68"/>
      <c r="O54" s="68"/>
      <c r="P54" s="69"/>
      <c r="Q54" s="69"/>
      <c r="R54" s="70"/>
      <c r="S54" s="71"/>
      <c r="T54" s="69"/>
      <c r="U54" s="70"/>
      <c r="V54" s="71"/>
      <c r="W54" s="69"/>
      <c r="X54" s="70"/>
      <c r="Y54" s="71"/>
      <c r="Z54" s="69"/>
      <c r="AA54" s="70"/>
      <c r="AB54" s="71"/>
      <c r="AC54" s="69"/>
      <c r="AD54" s="70"/>
      <c r="AE54" s="71"/>
      <c r="AF54" s="69"/>
      <c r="AG54" s="70"/>
      <c r="AH54" s="71"/>
      <c r="AI54" s="69"/>
      <c r="AJ54" s="70"/>
      <c r="AK54" s="71"/>
      <c r="AL54" s="69"/>
      <c r="AM54" s="70"/>
      <c r="AN54" s="71"/>
      <c r="AO54" s="69"/>
      <c r="AP54" s="70"/>
      <c r="AQ54" s="71"/>
      <c r="AR54" s="69"/>
      <c r="AS54" s="70"/>
      <c r="AT54" s="71"/>
      <c r="AU54" s="69"/>
      <c r="AV54" s="70"/>
      <c r="AW54" s="71"/>
      <c r="AX54" s="69"/>
      <c r="AY54" s="70"/>
      <c r="AZ54" s="71"/>
      <c r="BA54" s="69"/>
      <c r="BB54" s="70"/>
      <c r="BC54" s="71"/>
      <c r="BD54" s="69"/>
      <c r="BE54" s="70"/>
      <c r="BF54" s="71"/>
      <c r="BG54" s="69"/>
      <c r="BH54" s="70"/>
      <c r="BI54" s="71"/>
      <c r="BJ54" s="69"/>
      <c r="BK54" s="70"/>
      <c r="BL54" s="71"/>
      <c r="BM54" s="69"/>
      <c r="BN54" s="70"/>
      <c r="BO54" s="71"/>
      <c r="BP54" s="69"/>
      <c r="BQ54" s="70"/>
      <c r="BR54" s="71"/>
      <c r="BS54" s="69"/>
      <c r="BT54" s="70"/>
      <c r="BU54" s="71"/>
      <c r="BV54" s="69"/>
      <c r="BW54" s="70"/>
      <c r="BX54" s="71"/>
      <c r="BY54" s="69"/>
      <c r="BZ54" s="70"/>
      <c r="CA54" s="71"/>
      <c r="CB54" s="69"/>
      <c r="CC54" s="70"/>
      <c r="CD54" s="71"/>
      <c r="CE54" s="69"/>
      <c r="CF54" s="70"/>
      <c r="CG54" s="71"/>
      <c r="CH54" s="69"/>
      <c r="CI54" s="70"/>
      <c r="CJ54" s="72"/>
      <c r="CK54" s="73"/>
      <c r="CL54" s="73"/>
      <c r="CM54" s="73"/>
      <c r="CN54" s="73"/>
      <c r="CO54" s="73"/>
      <c r="CP54" s="73"/>
      <c r="CQ54" s="73"/>
      <c r="CR54" s="73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72"/>
      <c r="DH54" s="72"/>
      <c r="DI54" s="72"/>
      <c r="DJ54" s="73"/>
      <c r="DK54" s="73"/>
      <c r="DL54" s="74"/>
      <c r="DM54" s="74"/>
      <c r="DN54" s="74"/>
      <c r="DO54" s="75"/>
    </row>
    <row r="55" spans="1:119" ht="12.95">
      <c r="N55" s="60"/>
      <c r="O55" s="60"/>
      <c r="P55" s="58"/>
      <c r="Q55" s="76"/>
      <c r="R55" s="77"/>
      <c r="S55" s="78"/>
      <c r="T55" s="76"/>
      <c r="U55" s="77"/>
      <c r="V55" s="78"/>
      <c r="W55" s="76"/>
      <c r="X55" s="77"/>
      <c r="Y55" s="78"/>
      <c r="Z55" s="76"/>
      <c r="AA55" s="77"/>
      <c r="AB55" s="78"/>
      <c r="AC55" s="76"/>
      <c r="AD55" s="77"/>
      <c r="AE55" s="78"/>
      <c r="AF55" s="76"/>
      <c r="AG55" s="77"/>
      <c r="AH55" s="78"/>
      <c r="AI55" s="76"/>
      <c r="AJ55" s="77"/>
      <c r="AK55" s="78"/>
      <c r="AL55" s="76"/>
      <c r="AM55" s="77"/>
      <c r="AN55" s="78"/>
      <c r="AO55" s="76"/>
      <c r="AP55" s="77"/>
      <c r="AQ55" s="78"/>
      <c r="AR55" s="76"/>
      <c r="AS55" s="77"/>
      <c r="AT55" s="78"/>
      <c r="AU55" s="76"/>
      <c r="AV55" s="77"/>
      <c r="AW55" s="78"/>
      <c r="AX55" s="76"/>
      <c r="AY55" s="77"/>
      <c r="AZ55" s="78"/>
      <c r="BA55" s="76"/>
      <c r="BB55" s="77"/>
      <c r="BC55" s="78"/>
      <c r="BD55" s="76"/>
      <c r="BE55" s="77"/>
      <c r="BF55" s="78"/>
      <c r="BG55" s="76"/>
      <c r="BH55" s="77"/>
      <c r="BI55" s="78"/>
      <c r="BJ55" s="76"/>
      <c r="BK55" s="77"/>
      <c r="BL55" s="78"/>
      <c r="BM55" s="76"/>
      <c r="BN55" s="77"/>
      <c r="BO55" s="78"/>
      <c r="BP55" s="76"/>
      <c r="BQ55" s="77"/>
      <c r="BR55" s="78"/>
      <c r="BS55" s="76"/>
      <c r="BT55" s="77"/>
      <c r="BU55" s="78"/>
      <c r="BV55" s="76"/>
      <c r="BW55" s="77"/>
      <c r="BX55" s="78"/>
      <c r="BY55" s="76"/>
      <c r="BZ55" s="77"/>
      <c r="CA55" s="78"/>
      <c r="CB55" s="76"/>
      <c r="CC55" s="77"/>
      <c r="CD55" s="78"/>
      <c r="CE55" s="76"/>
      <c r="CF55" s="77"/>
      <c r="CG55" s="78"/>
      <c r="CH55" s="76"/>
      <c r="CI55" s="77"/>
      <c r="CJ55" s="40"/>
      <c r="CK55" s="54"/>
      <c r="CL55" s="54"/>
      <c r="CM55" s="54"/>
      <c r="CN55" s="54"/>
      <c r="CO55" s="54"/>
      <c r="CP55" s="54"/>
      <c r="CQ55" s="54"/>
      <c r="CR55" s="54"/>
      <c r="CS55" s="55">
        <f t="shared" ref="CS55:DH57" si="53">SUMIFS($P55:$CI55,$P$3:$CI$3,CS$6)</f>
        <v>0</v>
      </c>
      <c r="CT55" s="55">
        <f t="shared" si="53"/>
        <v>0</v>
      </c>
      <c r="CU55" s="55">
        <f t="shared" si="53"/>
        <v>0</v>
      </c>
      <c r="CV55" s="55">
        <f t="shared" si="53"/>
        <v>0</v>
      </c>
      <c r="CW55" s="55">
        <f t="shared" si="53"/>
        <v>0</v>
      </c>
      <c r="CX55" s="55">
        <f t="shared" si="53"/>
        <v>0</v>
      </c>
      <c r="CY55" s="55">
        <f t="shared" si="53"/>
        <v>0</v>
      </c>
      <c r="CZ55" s="55">
        <f t="shared" si="53"/>
        <v>0</v>
      </c>
      <c r="DA55" s="55">
        <f t="shared" si="53"/>
        <v>0</v>
      </c>
      <c r="DB55" s="55">
        <f t="shared" si="53"/>
        <v>0</v>
      </c>
      <c r="DC55" s="55">
        <f t="shared" si="53"/>
        <v>0</v>
      </c>
      <c r="DD55" s="55">
        <f t="shared" si="53"/>
        <v>0</v>
      </c>
      <c r="DE55" s="55">
        <f t="shared" si="53"/>
        <v>0</v>
      </c>
      <c r="DF55" s="55">
        <f t="shared" si="53"/>
        <v>0</v>
      </c>
      <c r="DG55" s="55">
        <f t="shared" si="53"/>
        <v>0</v>
      </c>
      <c r="DH55" s="55">
        <f t="shared" si="53"/>
        <v>0</v>
      </c>
      <c r="DI55" s="40"/>
      <c r="DJ55" s="54"/>
      <c r="DK55" s="54"/>
      <c r="DL55" s="57"/>
      <c r="DM55" s="57"/>
      <c r="DN55" s="57"/>
      <c r="DO55" s="58"/>
    </row>
    <row r="56" spans="1:119" ht="12.95">
      <c r="N56" s="60"/>
      <c r="O56" s="60"/>
      <c r="P56" s="58"/>
      <c r="Q56" s="58"/>
      <c r="R56" s="61"/>
      <c r="S56" s="62"/>
      <c r="T56" s="58"/>
      <c r="U56" s="61"/>
      <c r="V56" s="62"/>
      <c r="W56" s="58"/>
      <c r="X56" s="61"/>
      <c r="Y56" s="62"/>
      <c r="Z56" s="58"/>
      <c r="AA56" s="61"/>
      <c r="AB56" s="62"/>
      <c r="AC56" s="58"/>
      <c r="AD56" s="61"/>
      <c r="AE56" s="62"/>
      <c r="AF56" s="58"/>
      <c r="AG56" s="61"/>
      <c r="AH56" s="62"/>
      <c r="AI56" s="58"/>
      <c r="AJ56" s="61"/>
      <c r="AK56" s="62"/>
      <c r="AL56" s="58"/>
      <c r="AM56" s="61"/>
      <c r="AN56" s="62"/>
      <c r="AO56" s="58"/>
      <c r="AP56" s="61"/>
      <c r="AQ56" s="62"/>
      <c r="AR56" s="58"/>
      <c r="AS56" s="61"/>
      <c r="AT56" s="62"/>
      <c r="AU56" s="58"/>
      <c r="AV56" s="61"/>
      <c r="AW56" s="62"/>
      <c r="AX56" s="58"/>
      <c r="AY56" s="61"/>
      <c r="AZ56" s="62"/>
      <c r="BA56" s="58"/>
      <c r="BB56" s="61"/>
      <c r="BC56" s="62"/>
      <c r="BD56" s="58"/>
      <c r="BE56" s="61"/>
      <c r="BF56" s="62"/>
      <c r="BG56" s="58"/>
      <c r="BH56" s="61"/>
      <c r="BI56" s="62"/>
      <c r="BJ56" s="58"/>
      <c r="BK56" s="61"/>
      <c r="BL56" s="62"/>
      <c r="BM56" s="58"/>
      <c r="BN56" s="61"/>
      <c r="BO56" s="62"/>
      <c r="BP56" s="58"/>
      <c r="BQ56" s="61"/>
      <c r="BR56" s="62"/>
      <c r="BS56" s="58"/>
      <c r="BT56" s="61"/>
      <c r="BU56" s="62"/>
      <c r="BV56" s="58"/>
      <c r="BW56" s="61"/>
      <c r="BX56" s="62"/>
      <c r="BY56" s="58"/>
      <c r="BZ56" s="61"/>
      <c r="CA56" s="62"/>
      <c r="CB56" s="58"/>
      <c r="CC56" s="61"/>
      <c r="CD56" s="62"/>
      <c r="CE56" s="58"/>
      <c r="CF56" s="61"/>
      <c r="CG56" s="62"/>
      <c r="CH56" s="58"/>
      <c r="CI56" s="61"/>
      <c r="CJ56" s="40"/>
      <c r="CK56" s="63"/>
      <c r="CL56" s="63"/>
      <c r="CM56" s="63"/>
      <c r="CN56" s="63"/>
      <c r="CO56" s="63"/>
      <c r="CP56" s="63"/>
      <c r="CQ56" s="63"/>
      <c r="CR56" s="63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63"/>
      <c r="DK56" s="63"/>
      <c r="DL56" s="64"/>
      <c r="DM56" s="64"/>
      <c r="DN56" s="64"/>
      <c r="DO56" s="65"/>
    </row>
    <row r="57" spans="1:119" ht="12.95">
      <c r="K57" s="79" t="s">
        <v>219</v>
      </c>
      <c r="L57" s="79"/>
      <c r="N57" s="60"/>
      <c r="O57" s="60"/>
      <c r="P57" s="80">
        <f t="shared" ref="P57:CA57" si="54">SUM(P8:P56)</f>
        <v>0</v>
      </c>
      <c r="Q57" s="80">
        <f t="shared" si="54"/>
        <v>0</v>
      </c>
      <c r="R57" s="81">
        <f t="shared" si="54"/>
        <v>0</v>
      </c>
      <c r="S57" s="82">
        <f t="shared" si="54"/>
        <v>0</v>
      </c>
      <c r="T57" s="80">
        <f t="shared" si="54"/>
        <v>129000</v>
      </c>
      <c r="U57" s="81">
        <f t="shared" si="54"/>
        <v>0</v>
      </c>
      <c r="V57" s="82">
        <f t="shared" si="54"/>
        <v>0</v>
      </c>
      <c r="W57" s="80">
        <f t="shared" si="54"/>
        <v>0</v>
      </c>
      <c r="X57" s="81">
        <f t="shared" si="54"/>
        <v>0</v>
      </c>
      <c r="Y57" s="82">
        <f t="shared" si="54"/>
        <v>0</v>
      </c>
      <c r="Z57" s="80">
        <f t="shared" si="54"/>
        <v>0</v>
      </c>
      <c r="AA57" s="81">
        <f t="shared" si="54"/>
        <v>250000</v>
      </c>
      <c r="AB57" s="82">
        <f t="shared" si="54"/>
        <v>120000</v>
      </c>
      <c r="AC57" s="80">
        <f t="shared" si="54"/>
        <v>150000</v>
      </c>
      <c r="AD57" s="81">
        <f t="shared" si="54"/>
        <v>472500</v>
      </c>
      <c r="AE57" s="82">
        <f t="shared" si="54"/>
        <v>427000</v>
      </c>
      <c r="AF57" s="80">
        <f t="shared" si="54"/>
        <v>380000</v>
      </c>
      <c r="AG57" s="81">
        <f t="shared" si="54"/>
        <v>1078000</v>
      </c>
      <c r="AH57" s="82">
        <f t="shared" si="54"/>
        <v>1115000</v>
      </c>
      <c r="AI57" s="80">
        <f t="shared" si="54"/>
        <v>605000</v>
      </c>
      <c r="AJ57" s="81">
        <f t="shared" si="54"/>
        <v>1010000</v>
      </c>
      <c r="AK57" s="82">
        <f t="shared" si="54"/>
        <v>717500</v>
      </c>
      <c r="AL57" s="80">
        <f t="shared" si="54"/>
        <v>40000</v>
      </c>
      <c r="AM57" s="81">
        <f t="shared" si="54"/>
        <v>150000</v>
      </c>
      <c r="AN57" s="82">
        <f t="shared" si="54"/>
        <v>0</v>
      </c>
      <c r="AO57" s="80">
        <f t="shared" si="54"/>
        <v>300000</v>
      </c>
      <c r="AP57" s="81">
        <f t="shared" si="54"/>
        <v>370000</v>
      </c>
      <c r="AQ57" s="82">
        <f t="shared" si="54"/>
        <v>700000</v>
      </c>
      <c r="AR57" s="80">
        <f t="shared" si="54"/>
        <v>0</v>
      </c>
      <c r="AS57" s="81">
        <f t="shared" si="54"/>
        <v>0</v>
      </c>
      <c r="AT57" s="82">
        <f t="shared" si="54"/>
        <v>0</v>
      </c>
      <c r="AU57" s="80">
        <f t="shared" si="54"/>
        <v>0</v>
      </c>
      <c r="AV57" s="81">
        <f t="shared" si="54"/>
        <v>0</v>
      </c>
      <c r="AW57" s="82">
        <f t="shared" si="54"/>
        <v>0</v>
      </c>
      <c r="AX57" s="80">
        <f t="shared" si="54"/>
        <v>0</v>
      </c>
      <c r="AY57" s="81">
        <f t="shared" si="54"/>
        <v>0</v>
      </c>
      <c r="AZ57" s="82">
        <f t="shared" si="54"/>
        <v>0</v>
      </c>
      <c r="BA57" s="80">
        <f t="shared" si="54"/>
        <v>0</v>
      </c>
      <c r="BB57" s="81">
        <f t="shared" si="54"/>
        <v>0</v>
      </c>
      <c r="BC57" s="82">
        <f t="shared" si="54"/>
        <v>0</v>
      </c>
      <c r="BD57" s="80">
        <f t="shared" si="54"/>
        <v>0</v>
      </c>
      <c r="BE57" s="81">
        <f t="shared" si="54"/>
        <v>0</v>
      </c>
      <c r="BF57" s="82">
        <f t="shared" si="54"/>
        <v>0</v>
      </c>
      <c r="BG57" s="80">
        <f t="shared" si="54"/>
        <v>0</v>
      </c>
      <c r="BH57" s="81">
        <f t="shared" si="54"/>
        <v>0</v>
      </c>
      <c r="BI57" s="82">
        <f t="shared" si="54"/>
        <v>0</v>
      </c>
      <c r="BJ57" s="80">
        <f t="shared" si="54"/>
        <v>0</v>
      </c>
      <c r="BK57" s="81">
        <f t="shared" si="54"/>
        <v>0</v>
      </c>
      <c r="BL57" s="82">
        <f t="shared" si="54"/>
        <v>0</v>
      </c>
      <c r="BM57" s="80">
        <f t="shared" si="54"/>
        <v>0</v>
      </c>
      <c r="BN57" s="81">
        <f t="shared" si="54"/>
        <v>0</v>
      </c>
      <c r="BO57" s="82">
        <f t="shared" si="54"/>
        <v>0</v>
      </c>
      <c r="BP57" s="80">
        <f t="shared" si="54"/>
        <v>0</v>
      </c>
      <c r="BQ57" s="81">
        <f t="shared" si="54"/>
        <v>0</v>
      </c>
      <c r="BR57" s="82">
        <f t="shared" si="54"/>
        <v>0</v>
      </c>
      <c r="BS57" s="80">
        <f t="shared" si="54"/>
        <v>0</v>
      </c>
      <c r="BT57" s="81">
        <f t="shared" si="54"/>
        <v>0</v>
      </c>
      <c r="BU57" s="82">
        <f t="shared" si="54"/>
        <v>0</v>
      </c>
      <c r="BV57" s="80">
        <f t="shared" si="54"/>
        <v>0</v>
      </c>
      <c r="BW57" s="81">
        <f t="shared" si="54"/>
        <v>0</v>
      </c>
      <c r="BX57" s="82">
        <f t="shared" si="54"/>
        <v>0</v>
      </c>
      <c r="BY57" s="80">
        <f t="shared" si="54"/>
        <v>0</v>
      </c>
      <c r="BZ57" s="81">
        <f t="shared" si="54"/>
        <v>0</v>
      </c>
      <c r="CA57" s="82">
        <f t="shared" si="54"/>
        <v>0</v>
      </c>
      <c r="CB57" s="80">
        <f t="shared" ref="CB57:CI57" si="55">SUM(CB8:CB56)</f>
        <v>0</v>
      </c>
      <c r="CC57" s="81">
        <f t="shared" si="55"/>
        <v>0</v>
      </c>
      <c r="CD57" s="82">
        <f t="shared" si="55"/>
        <v>0</v>
      </c>
      <c r="CE57" s="80">
        <f t="shared" si="55"/>
        <v>0</v>
      </c>
      <c r="CF57" s="81">
        <f t="shared" si="55"/>
        <v>0</v>
      </c>
      <c r="CG57" s="82">
        <f t="shared" si="55"/>
        <v>0</v>
      </c>
      <c r="CH57" s="80">
        <f t="shared" si="55"/>
        <v>0</v>
      </c>
      <c r="CI57" s="81">
        <f t="shared" si="55"/>
        <v>0</v>
      </c>
      <c r="CJ57" s="40"/>
      <c r="CK57" s="81">
        <f t="shared" ref="CK57:CR57" si="56">SUM(CK8:CK56)</f>
        <v>0</v>
      </c>
      <c r="CL57" s="81">
        <f t="shared" si="56"/>
        <v>129000</v>
      </c>
      <c r="CM57" s="81">
        <f t="shared" si="56"/>
        <v>0</v>
      </c>
      <c r="CN57" s="81">
        <f t="shared" si="56"/>
        <v>250000</v>
      </c>
      <c r="CO57" s="81">
        <f t="shared" si="56"/>
        <v>742500</v>
      </c>
      <c r="CP57" s="81">
        <f t="shared" si="56"/>
        <v>1885000</v>
      </c>
      <c r="CQ57" s="81">
        <f t="shared" si="56"/>
        <v>2730000</v>
      </c>
      <c r="CR57" s="81">
        <f t="shared" si="56"/>
        <v>907500</v>
      </c>
      <c r="CS57" s="55">
        <f t="shared" si="53"/>
        <v>670000</v>
      </c>
      <c r="CT57" s="55">
        <f t="shared" si="53"/>
        <v>700000</v>
      </c>
      <c r="CU57" s="55">
        <f t="shared" si="53"/>
        <v>0</v>
      </c>
      <c r="CV57" s="55">
        <f t="shared" si="53"/>
        <v>0</v>
      </c>
      <c r="CW57" s="55">
        <f t="shared" si="53"/>
        <v>0</v>
      </c>
      <c r="CX57" s="55">
        <f t="shared" si="53"/>
        <v>0</v>
      </c>
      <c r="CY57" s="55">
        <f t="shared" si="53"/>
        <v>0</v>
      </c>
      <c r="CZ57" s="55">
        <f t="shared" si="53"/>
        <v>0</v>
      </c>
      <c r="DA57" s="55">
        <f t="shared" si="53"/>
        <v>0</v>
      </c>
      <c r="DB57" s="55">
        <f t="shared" si="53"/>
        <v>0</v>
      </c>
      <c r="DC57" s="55">
        <f t="shared" si="53"/>
        <v>0</v>
      </c>
      <c r="DD57" s="55">
        <f t="shared" si="53"/>
        <v>0</v>
      </c>
      <c r="DE57" s="55">
        <f t="shared" si="53"/>
        <v>0</v>
      </c>
      <c r="DF57" s="55">
        <f t="shared" si="53"/>
        <v>0</v>
      </c>
      <c r="DG57" s="55">
        <f t="shared" si="53"/>
        <v>0</v>
      </c>
      <c r="DH57" s="55">
        <f t="shared" si="53"/>
        <v>0</v>
      </c>
      <c r="DI57" s="40"/>
      <c r="DJ57" s="83">
        <f t="shared" ref="DJ57:DO57" si="57">SUMIFS($CK57:$DH57,$CK$1:$DH$1,DJ$6)</f>
        <v>250000</v>
      </c>
      <c r="DK57" s="83">
        <f t="shared" si="57"/>
        <v>6265000</v>
      </c>
      <c r="DL57" s="83">
        <f t="shared" si="57"/>
        <v>1370000</v>
      </c>
      <c r="DM57" s="83">
        <f t="shared" si="57"/>
        <v>0</v>
      </c>
      <c r="DN57" s="83">
        <f t="shared" si="57"/>
        <v>0</v>
      </c>
      <c r="DO57" s="83">
        <f t="shared" si="57"/>
        <v>0</v>
      </c>
    </row>
  </sheetData>
  <autoFilter ref="A7:DO52" xr:uid="{5A1E018F-4FB1-4255-B63F-AE96FC4D990D}"/>
  <mergeCells count="2">
    <mergeCell ref="K5:DN5"/>
    <mergeCell ref="K6:M6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E4AFF5667B5B4F90B76349AF90E277" ma:contentTypeVersion="10" ma:contentTypeDescription="Ein neues Dokument erstellen." ma:contentTypeScope="" ma:versionID="dd9f49ef035b3c279885070c5fc02c82">
  <xsd:schema xmlns:xsd="http://www.w3.org/2001/XMLSchema" xmlns:xs="http://www.w3.org/2001/XMLSchema" xmlns:p="http://schemas.microsoft.com/office/2006/metadata/properties" xmlns:ns2="b2675570-79dc-4f53-91fb-b7659c692683" xmlns:ns3="7c3476da-f0fc-457d-a633-858fe3f4455f" targetNamespace="http://schemas.microsoft.com/office/2006/metadata/properties" ma:root="true" ma:fieldsID="82fbe575a39c9a8419b36677dad140fc" ns2:_="" ns3:_="">
    <xsd:import namespace="b2675570-79dc-4f53-91fb-b7659c692683"/>
    <xsd:import namespace="7c3476da-f0fc-457d-a633-858fe3f44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75570-79dc-4f53-91fb-b7659c692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bcb1afdb-1820-4acd-9631-b679428521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476da-f0fc-457d-a633-858fe3f445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35cccf-351e-487f-9540-65c8dfc4e92b}" ma:internalName="TaxCatchAll" ma:showField="CatchAllData" ma:web="7c3476da-f0fc-457d-a633-858fe3f44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675570-79dc-4f53-91fb-b7659c692683">
      <Terms xmlns="http://schemas.microsoft.com/office/infopath/2007/PartnerControls"/>
    </lcf76f155ced4ddcb4097134ff3c332f>
    <TaxCatchAll xmlns="7c3476da-f0fc-457d-a633-858fe3f4455f" xsi:nil="true"/>
  </documentManagement>
</p:properties>
</file>

<file path=customXml/itemProps1.xml><?xml version="1.0" encoding="utf-8"?>
<ds:datastoreItem xmlns:ds="http://schemas.openxmlformats.org/officeDocument/2006/customXml" ds:itemID="{C65B6FFD-52D8-4F2E-ABD1-843A5C971816}"/>
</file>

<file path=customXml/itemProps2.xml><?xml version="1.0" encoding="utf-8"?>
<ds:datastoreItem xmlns:ds="http://schemas.openxmlformats.org/officeDocument/2006/customXml" ds:itemID="{2D82DF02-EB58-4578-8542-D2E67DB6556A}"/>
</file>

<file path=customXml/itemProps3.xml><?xml version="1.0" encoding="utf-8"?>
<ds:datastoreItem xmlns:ds="http://schemas.openxmlformats.org/officeDocument/2006/customXml" ds:itemID="{D99DC4EB-2CCD-4668-BBC6-0DF96166B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Mielke</dc:creator>
  <cp:keywords/>
  <dc:description/>
  <cp:lastModifiedBy/>
  <cp:revision/>
  <dcterms:created xsi:type="dcterms:W3CDTF">2026-02-17T15:36:04Z</dcterms:created>
  <dcterms:modified xsi:type="dcterms:W3CDTF">2026-03-13T13:38:18Z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0x01010000E4AFF5667B5B4F90B76349AF90E277</vt:lpwstr>
  </property>
  <property fmtid="{D5CDD505-2E9C-101B-9397-08002B2CF9AE}" pid="3" name="MediaServiceImageTags">
    <vt:lpwstr/>
  </property>
</Properties>
</file>